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iceo Compu-Market\Desktop\"/>
    </mc:Choice>
  </mc:AlternateContent>
  <bookViews>
    <workbookView xWindow="-105" yWindow="-105" windowWidth="23250" windowHeight="12570" activeTab="2"/>
  </bookViews>
  <sheets>
    <sheet name="Ficha Personal" sheetId="4" r:id="rId1"/>
    <sheet name="DB Empleados" sheetId="3" r:id="rId2"/>
    <sheet name="Libro Salarios" sheetId="2" r:id="rId3"/>
  </sheets>
  <definedNames>
    <definedName name="_xlnm._FilterDatabase" localSheetId="2" hidden="1">'Libro Salarios'!$A$14:$S$17</definedName>
  </definedNames>
  <calcPr calcId="162913"/>
</workbook>
</file>

<file path=xl/calcChain.xml><?xml version="1.0" encoding="utf-8"?>
<calcChain xmlns="http://schemas.openxmlformats.org/spreadsheetml/2006/main">
  <c r="P11" i="2" l="1"/>
  <c r="P8" i="2"/>
  <c r="H8" i="2"/>
  <c r="A8" i="2"/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D17" i="2" l="1"/>
  <c r="H6" i="3"/>
  <c r="H7" i="3"/>
  <c r="H8" i="3"/>
  <c r="H10" i="3"/>
  <c r="H11" i="3"/>
  <c r="H12" i="3"/>
  <c r="H13" i="3"/>
  <c r="H14" i="3"/>
  <c r="H9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5" i="3"/>
  <c r="K11" i="2" s="1"/>
  <c r="G6" i="3"/>
  <c r="G7" i="3"/>
  <c r="G8" i="3"/>
  <c r="G10" i="3"/>
  <c r="G11" i="3"/>
  <c r="G12" i="3"/>
  <c r="G13" i="3"/>
  <c r="G14" i="3"/>
  <c r="G9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5" i="3"/>
  <c r="A11" i="2" s="1"/>
  <c r="E6" i="3"/>
  <c r="E7" i="3"/>
  <c r="E8" i="3"/>
  <c r="E10" i="3"/>
  <c r="E11" i="3"/>
  <c r="E12" i="3"/>
  <c r="E13" i="3"/>
  <c r="E14" i="3"/>
  <c r="E9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  <c r="F11" i="2" l="1"/>
  <c r="E8" i="2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<sst xmlns="http://schemas.openxmlformats.org/spreadsheetml/2006/main" count="473" uniqueCount="187">
  <si>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</si>
  <si>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</si>
  <si>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</si>
  <si>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</si>
  <si>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</si>
  <si>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</si>
  <si>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</si>
  <si>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</si>
  <si>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</si>
  <si>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</si>
  <si>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</si>
  <si>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</si>
  <si>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</si>
  <si>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</si>
  <si>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</si>
  <si>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</si>
  <si>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</si>
  <si>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</si>
  <si>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</si>
  <si>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</si>
  <si>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</si>
  <si>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</si>
  <si>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</si>
  <si>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</si>
  <si>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</si>
  <si>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</si>
  <si>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</si>
  <si>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</si>
  <si>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</si>
  <si>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</si>
  <si>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</si>
  <si>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</si>
  <si>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</si>
  <si>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</si>
  <si>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</si>
  <si>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</si>
  <si>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</si>
  <si>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</si>
  <si>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</si>
  <si>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</si>
  <si>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</si>
  <si>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</si>
  <si>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</si>
  <si>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</si>
  <si>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</si>
  <si>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</si>
  <si>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</si>
  <si>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</si>
  <si>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</si>
  <si>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</si>
  <si>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</si>
  <si>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</si>
  <si>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</si>
  <si>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</si>
  <si>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</si>
  <si>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</si>
  <si>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</si>
  <si>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</si>
  <si>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</si>
  <si>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</si>
  <si>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</si>
  <si>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</si>
  <si>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</si>
  <si>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</si>
  <si>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</si>
  <si>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</si>
  <si>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</si>
  <si>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</si>
  <si>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</si>
  <si>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</si>
  <si>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</si>
  <si>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</si>
  <si>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</si>
  <si>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</si>
  <si>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</si>
  <si>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</si>
  <si>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</si>
  <si>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</si>
  <si>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</si>
  <si>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</si>
  <si>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</si>
  <si>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</si>
  <si>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</si>
  <si>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</si>
  <si>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</si>
  <si>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</si>
  <si>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</si>
  <si>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</si>
  <si>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</si>
  <si>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</si>
  <si>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</si>
  <si>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</si>
  <si>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</si>
  <si>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</si>
  <si>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</si>
  <si>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</si>
  <si>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</si>
  <si>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</si>
  <si>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</si>
  <si>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</si>
  <si>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</si>
  <si>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</si>
  <si>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</si>
  <si>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</si>
  <si>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</si>
  <si>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</si>
  <si>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</si>
  <si>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</si>
  <si>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</si>
  <si>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</si>
  <si>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</si>
  <si>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</si>
  <si>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</si>
  <si>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</si>
  <si>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</si>
  <si>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</si>
  <si>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</si>
  <si>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</si>
  <si>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</si>
  <si>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</si>
  <si>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</si>
  <si>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</si>
  <si>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</si>
  <si>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</si>
  <si>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</si>
  <si>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</si>
  <si>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</si>
  <si>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</si>
  <si>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</si>
  <si>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</si>
  <si>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</si>
  <si>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</si>
  <si>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</si>
  <si>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</si>
  <si>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</si>
  <si>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</si>
  <si>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</si>
  <si>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</si>
  <si>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</si>
  <si>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</si>
  <si>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</si>
  <si>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</si>
  <si>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</si>
  <si>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</si>
  <si>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</si>
  <si>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</si>
  <si>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</si>
  <si>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</si>
  <si>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</si>
  <si>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</si>
  <si>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</si>
  <si>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</si>
  <si>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</si>
  <si>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</si>
  <si>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</si>
  <si>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</si>
  <si>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</si>
  <si>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</si>
  <si>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</si>
  <si>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</si>
  <si>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</si>
  <si>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</si>
  <si>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</si>
  <si>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</si>
  <si>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</si>
  <si>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</si>
  <si>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</si>
  <si>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</si>
  <si>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</si>
  <si>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</si>
  <si>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</si>
  <si>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</si>
  <si>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</si>
  <si>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</si>
  <si>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</si>
  <si>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</si>
  <si>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</si>
  <si>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</si>
  <si>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</si>
  <si>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</si>
  <si>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</si>
  <si>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 xml:space="preserve">Anthony Jeremy´s de jesús Romero Reyna </t>
  </si>
  <si>
    <t>5to Baco</t>
  </si>
  <si>
    <t>Ministerio de educación</t>
  </si>
  <si>
    <t>Codigo de trabajador</t>
  </si>
  <si>
    <r>
      <t xml:space="preserve">Número  de  Identificación  Tributaria </t>
    </r>
    <r>
      <rPr>
        <b/>
        <sz val="13"/>
        <rFont val="Univers"/>
        <family val="2"/>
      </rPr>
      <t>(NIT) : 3225399</t>
    </r>
  </si>
  <si>
    <t xml:space="preserve">5 Meses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</si>
</sst>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yy;@"/>
  </numFmts>
  <fonts count="25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3"/>
      <name val="Univers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b/>
      <sz val="11"/>
      <color theme="1"/>
      <name val="Calibri"/>
      <family val="2"/>
      <scheme val="minor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  <font>
      <sz val="9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88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4" fillId="0" borderId="0" xfId="0" applyFont="1"/>
    <xf numFmtId="0" fontId="15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16" fillId="0" borderId="0" xfId="0" applyFont="1"/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8" fillId="0" borderId="0" xfId="0" applyFont="1" applyFill="1" applyBorder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2" fillId="0" borderId="0" xfId="0" applyFont="1"/>
    <xf numFmtId="0" fontId="1" fillId="0" borderId="0" xfId="0" applyFont="1" applyAlignment="1"/>
    <xf numFmtId="0" fontId="24" fillId="0" borderId="0" xfId="0" applyFont="1" applyAlignment="1"/>
    <xf numFmtId="0" fontId="0" fillId="5" borderId="0" xfId="0" applyFill="1" applyBorder="1" applyAlignment="1">
      <alignment horizontal="center"/>
    </xf>
    <xf numFmtId="0" fontId="23" fillId="3" borderId="13" xfId="0" applyFont="1" applyFill="1" applyBorder="1" applyAlignment="1">
      <alignment horizontal="center" vertical="center"/>
    </xf>
    <xf numFmtId="0" fontId="23" fillId="3" borderId="14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0" fontId="23" fillId="3" borderId="16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0" fontId="23" fillId="3" borderId="17" xfId="0" applyFont="1" applyFill="1" applyBorder="1" applyAlignment="1">
      <alignment horizontal="center" vertical="center"/>
    </xf>
    <xf numFmtId="0" fontId="23" fillId="3" borderId="18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0" fontId="23" fillId="3" borderId="2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1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28574</xdr:colOff>
      <xdr:row>6</xdr:row>
      <xdr:rowOff>134662</xdr:rowOff>
    </xdr:to>
    <xdr:pic>
      <xdr:nvPicPr>
        <xdr:cNvPr id="4" name="Imagen 3" descr="Resultado de imagen para ministerio de educacion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52574" cy="13919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180975</xdr:rowOff>
        </xdr:from>
        <xdr:to>
          <xdr:col>8</xdr:col>
          <xdr:colOff>0</xdr:colOff>
          <xdr:row>19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Sueldo Ordinario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4:I104" totalsRowShown="0" headerRowDxfId="10" dataDxfId="9">
  <autoFilter ref="A4:I104"/>
  <sortState ref="A5:I104">
    <sortCondition ref="B4:B104"/>
  </sortState>
  <tableColumns count="9">
    <tableColumn id="1" name="Código Empleado" dataDxfId="8"/>
    <tableColumn id="2" name="Nombre Empleado" dataDxfId="7"/>
    <tableColumn id="9" name="Días Laborados" dataDxfId="6">
      <calculatedColumnFormula>RANDBETWEEN(25,30)</calculatedColumnFormula>
    </tableColumn>
    <tableColumn id="3" name="Sexo" dataDxfId="5"/>
    <tableColumn id="4" name="Edad" dataDxfId="4">
      <calculatedColumnFormula>RANDBETWEEN(18,41)</calculatedColumnFormula>
    </tableColumn>
    <tableColumn id="5" name="Ocupación o Puesto" dataDxfId="3"/>
    <tableColumn id="6" name="DPI" dataDxfId="2">
      <calculatedColumnFormula>RANDBETWEEN(2000000000101,9000000009999)</calculatedColumnFormula>
    </tableColumn>
    <tableColumn id="7" name="Fecha de Ingreso" dataDxfId="1">
      <calculatedColumnFormula>RANDBETWEEN(DATE(2001,1,1),DATE(2018,7,15))</calculatedColumnFormula>
    </tableColumn>
    <tableColumn id="8" name="Fecha Finalización Labor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K34"/>
  <sheetViews>
    <sheetView showGridLines="0" topLeftCell="A3" zoomScale="160" zoomScaleNormal="160" workbookViewId="0">
      <selection activeCell="D14" sqref="D14:E14"/>
    </sheetView>
  </sheetViews>
  <sheetFormatPr baseColWidth="10" defaultRowHeight="15"/>
  <cols>
    <col min="9" max="11" width="2.7109375" style="54" customWidth="1"/>
  </cols>
  <sheetData>
    <row r="3" spans="2:11" ht="15.75" thickBot="1"/>
    <row r="4" spans="2:11">
      <c r="B4" s="58" t="s">
        <v>171</v>
      </c>
      <c r="C4" s="59"/>
      <c r="D4" s="59"/>
      <c r="E4" s="59"/>
      <c r="F4" s="60"/>
    </row>
    <row r="5" spans="2:11">
      <c r="B5" s="61"/>
      <c r="C5" s="62"/>
      <c r="D5" s="62"/>
      <c r="E5" s="62"/>
      <c r="F5" s="63"/>
      <c r="I5" s="54">
        <v>1</v>
      </c>
      <c r="J5" s="54" t="s">
        <v>177</v>
      </c>
      <c r="K5" s="54" t="s">
        <v>179</v>
      </c>
    </row>
    <row r="6" spans="2:11" ht="15.75" thickBot="1">
      <c r="B6" s="64"/>
      <c r="C6" s="65"/>
      <c r="D6" s="65"/>
      <c r="E6" s="65"/>
      <c r="F6" s="66"/>
      <c r="I6" s="54">
        <v>2</v>
      </c>
      <c r="J6" s="54" t="s">
        <v>178</v>
      </c>
      <c r="K6" s="54" t="s">
        <v>180</v>
      </c>
    </row>
    <row r="7" spans="2:11">
      <c r="B7" s="47"/>
      <c r="C7" s="48"/>
      <c r="D7" s="48"/>
      <c r="E7" s="48"/>
      <c r="F7" s="49"/>
      <c r="I7" s="54">
        <v>3</v>
      </c>
    </row>
    <row r="8" spans="2:11">
      <c r="B8" s="47"/>
      <c r="C8" s="50" t="s">
        <v>172</v>
      </c>
      <c r="D8" s="57">
        <v>16</v>
      </c>
      <c r="E8" s="57"/>
      <c r="F8" s="49"/>
      <c r="I8" s="54">
        <v>4</v>
      </c>
    </row>
    <row r="9" spans="2:11">
      <c r="B9" s="47"/>
      <c r="C9" s="48"/>
      <c r="D9" s="48"/>
      <c r="E9" s="48"/>
      <c r="F9" s="49"/>
      <c r="I9" s="54">
        <v>5</v>
      </c>
    </row>
    <row r="10" spans="2:11">
      <c r="B10" s="47"/>
      <c r="C10" s="50" t="s">
        <v>173</v>
      </c>
      <c r="D10" s="57" t="s">
        <v>181</v>
      </c>
      <c r="E10" s="57"/>
      <c r="F10" s="49"/>
      <c r="I10" s="54">
        <v>6</v>
      </c>
    </row>
    <row r="11" spans="2:11">
      <c r="B11" s="47"/>
      <c r="C11" s="48"/>
      <c r="D11" s="48"/>
      <c r="E11" s="48"/>
      <c r="F11" s="49"/>
      <c r="I11" s="54">
        <v>7</v>
      </c>
    </row>
    <row r="12" spans="2:11">
      <c r="B12" s="47"/>
      <c r="C12" s="50" t="s">
        <v>174</v>
      </c>
      <c r="D12" s="57" t="s">
        <v>182</v>
      </c>
      <c r="E12" s="57"/>
      <c r="F12" s="49"/>
      <c r="I12" s="54">
        <v>8</v>
      </c>
    </row>
    <row r="13" spans="2:11">
      <c r="B13" s="47"/>
      <c r="C13" s="48"/>
      <c r="D13" s="48"/>
      <c r="E13" s="48"/>
      <c r="F13" s="49"/>
      <c r="I13" s="54">
        <v>9</v>
      </c>
    </row>
    <row r="14" spans="2:11">
      <c r="B14" s="47"/>
      <c r="C14" s="50" t="s">
        <v>175</v>
      </c>
      <c r="D14" s="57" t="s">
        <v>178</v>
      </c>
      <c r="E14" s="57"/>
      <c r="F14" s="49"/>
      <c r="I14" s="54">
        <v>10</v>
      </c>
    </row>
    <row r="15" spans="2:11">
      <c r="B15" s="47"/>
      <c r="C15" s="48"/>
      <c r="D15" s="48"/>
      <c r="E15" s="48"/>
      <c r="F15" s="49"/>
      <c r="I15" s="54">
        <v>11</v>
      </c>
    </row>
    <row r="16" spans="2:11">
      <c r="B16" s="47"/>
      <c r="C16" s="50" t="s">
        <v>176</v>
      </c>
      <c r="D16" s="57" t="s">
        <v>179</v>
      </c>
      <c r="E16" s="57"/>
      <c r="F16" s="49"/>
      <c r="I16" s="54">
        <v>12</v>
      </c>
    </row>
    <row r="17" spans="2:9">
      <c r="B17" s="47"/>
      <c r="C17" s="48"/>
      <c r="D17" s="48"/>
      <c r="E17" s="48"/>
      <c r="F17" s="49"/>
      <c r="I17" s="54">
        <v>13</v>
      </c>
    </row>
    <row r="18" spans="2:9" ht="15.75" thickBot="1">
      <c r="B18" s="51"/>
      <c r="C18" s="52"/>
      <c r="D18" s="52"/>
      <c r="E18" s="52"/>
      <c r="F18" s="53"/>
      <c r="I18" s="54">
        <v>14</v>
      </c>
    </row>
    <row r="19" spans="2:9">
      <c r="I19" s="54">
        <v>15</v>
      </c>
    </row>
    <row r="20" spans="2:9">
      <c r="I20" s="54">
        <v>16</v>
      </c>
    </row>
    <row r="21" spans="2:9">
      <c r="I21" s="54">
        <v>17</v>
      </c>
    </row>
    <row r="22" spans="2:9">
      <c r="I22" s="54">
        <v>18</v>
      </c>
    </row>
    <row r="23" spans="2:9">
      <c r="I23" s="54">
        <v>19</v>
      </c>
    </row>
    <row r="24" spans="2:9">
      <c r="I24" s="54">
        <v>20</v>
      </c>
    </row>
    <row r="25" spans="2:9">
      <c r="I25" s="54">
        <v>21</v>
      </c>
    </row>
    <row r="26" spans="2:9">
      <c r="I26" s="54">
        <v>22</v>
      </c>
    </row>
    <row r="27" spans="2:9">
      <c r="I27" s="54">
        <v>23</v>
      </c>
    </row>
    <row r="28" spans="2:9">
      <c r="I28" s="54">
        <v>24</v>
      </c>
    </row>
    <row r="29" spans="2:9">
      <c r="I29" s="54">
        <v>25</v>
      </c>
    </row>
    <row r="30" spans="2:9">
      <c r="I30" s="54">
        <v>26</v>
      </c>
    </row>
    <row r="31" spans="2:9">
      <c r="I31" s="54">
        <v>27</v>
      </c>
    </row>
    <row r="32" spans="2:9">
      <c r="I32" s="54">
        <v>28</v>
      </c>
    </row>
    <row r="33" spans="9:9">
      <c r="I33" s="54">
        <v>29</v>
      </c>
    </row>
    <row r="34" spans="9:9">
      <c r="I34" s="54">
        <v>30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4"/>
  <sheetViews>
    <sheetView showGridLines="0" zoomScale="85" zoomScaleNormal="85" workbookViewId="0">
      <selection activeCell="B5" sqref="B5"/>
    </sheetView>
  </sheetViews>
  <sheetFormatPr baseColWidth="10" defaultColWidth="11.5703125" defaultRowHeight="15.75"/>
  <cols>
    <col min="1" max="1" width="24.28515625" style="44" bestFit="1" customWidth="1"/>
    <col min="2" max="2" width="35" style="34" bestFit="1" customWidth="1"/>
    <col min="3" max="3" width="22.28515625" style="35" bestFit="1" customWidth="1"/>
    <col min="4" max="4" width="11.28515625" style="36" bestFit="1" customWidth="1"/>
    <col min="5" max="5" width="8.85546875" style="34" bestFit="1" customWidth="1"/>
    <col min="6" max="6" width="23.85546875" style="34" bestFit="1" customWidth="1"/>
    <col min="7" max="7" width="14.42578125" style="37" bestFit="1" customWidth="1"/>
    <col min="8" max="8" width="21.140625" style="34" bestFit="1" customWidth="1"/>
    <col min="9" max="9" width="31.140625" style="34" bestFit="1" customWidth="1"/>
    <col min="10" max="16384" width="11.5703125" style="34"/>
  </cols>
  <sheetData>
    <row r="1" spans="1:9" ht="15.6" customHeight="1">
      <c r="A1" s="67" t="s">
        <v>168</v>
      </c>
      <c r="B1" s="67"/>
      <c r="C1" s="67"/>
      <c r="D1" s="67"/>
      <c r="E1" s="67"/>
      <c r="F1" s="67"/>
      <c r="G1" s="67"/>
      <c r="H1" s="67"/>
      <c r="I1" s="67"/>
    </row>
    <row r="2" spans="1:9" ht="15.6" customHeight="1">
      <c r="A2" s="67"/>
      <c r="B2" s="67"/>
      <c r="C2" s="67"/>
      <c r="D2" s="67"/>
      <c r="E2" s="67"/>
      <c r="F2" s="67"/>
      <c r="G2" s="67"/>
      <c r="H2" s="67"/>
      <c r="I2" s="67"/>
    </row>
    <row r="4" spans="1:9">
      <c r="A4" s="38" t="s">
        <v>43</v>
      </c>
      <c r="B4" s="38" t="s">
        <v>44</v>
      </c>
      <c r="C4" s="38" t="s">
        <v>170</v>
      </c>
      <c r="D4" s="38" t="s">
        <v>5</v>
      </c>
      <c r="E4" s="38" t="s">
        <v>4</v>
      </c>
      <c r="F4" s="38" t="s">
        <v>46</v>
      </c>
      <c r="G4" s="39" t="s">
        <v>47</v>
      </c>
      <c r="H4" s="38" t="s">
        <v>10</v>
      </c>
      <c r="I4" s="38" t="s">
        <v>48</v>
      </c>
    </row>
    <row r="5" spans="1:9">
      <c r="A5" s="44">
        <v>1</v>
      </c>
      <c r="B5" s="40" t="s">
        <v>49</v>
      </c>
      <c r="C5" s="41">
        <f t="shared" ref="C5:C36" ca="1" si="0">RANDBETWEEN(25,30)</f>
        <v>26</v>
      </c>
      <c r="D5" s="36" t="s">
        <v>149</v>
      </c>
      <c r="E5" s="36">
        <f t="shared" ref="E5:E36" ca="1" si="1">RANDBETWEEN(18,41)</f>
        <v>39</v>
      </c>
      <c r="F5" s="36" t="s">
        <v>152</v>
      </c>
      <c r="G5" s="42">
        <f t="shared" ref="G5:G36" ca="1" si="2">RANDBETWEEN(2000000000101,9000000009999)</f>
        <v>4795644430403</v>
      </c>
      <c r="H5" s="43">
        <f t="shared" ref="H5:H36" ca="1" si="3">RANDBETWEEN(DATE(2001,1,1),DATE(2018,7,15))</f>
        <v>43262</v>
      </c>
      <c r="I5" s="36" t="s">
        <v>167</v>
      </c>
    </row>
    <row r="6" spans="1:9">
      <c r="A6" s="44">
        <v>2</v>
      </c>
      <c r="B6" s="40" t="s">
        <v>50</v>
      </c>
      <c r="C6" s="41">
        <f t="shared" ca="1" si="0"/>
        <v>29</v>
      </c>
      <c r="D6" s="36" t="s">
        <v>149</v>
      </c>
      <c r="E6" s="36">
        <f t="shared" ca="1" si="1"/>
        <v>22</v>
      </c>
      <c r="F6" s="36" t="s">
        <v>153</v>
      </c>
      <c r="G6" s="42">
        <f t="shared" ca="1" si="2"/>
        <v>2860167518635</v>
      </c>
      <c r="H6" s="43">
        <f t="shared" ca="1" si="3"/>
        <v>37574</v>
      </c>
      <c r="I6" s="36" t="s">
        <v>167</v>
      </c>
    </row>
    <row r="7" spans="1:9">
      <c r="A7" s="44">
        <v>3</v>
      </c>
      <c r="B7" s="40" t="s">
        <v>51</v>
      </c>
      <c r="C7" s="41">
        <f t="shared" ca="1" si="0"/>
        <v>26</v>
      </c>
      <c r="D7" s="36" t="s">
        <v>149</v>
      </c>
      <c r="E7" s="36">
        <f t="shared" ca="1" si="1"/>
        <v>22</v>
      </c>
      <c r="F7" s="36" t="s">
        <v>155</v>
      </c>
      <c r="G7" s="42">
        <f t="shared" ca="1" si="2"/>
        <v>7465775459402</v>
      </c>
      <c r="H7" s="43">
        <f t="shared" ca="1" si="3"/>
        <v>38605</v>
      </c>
      <c r="I7" s="36" t="s">
        <v>167</v>
      </c>
    </row>
    <row r="8" spans="1:9">
      <c r="A8" s="44">
        <v>4</v>
      </c>
      <c r="B8" s="40" t="s">
        <v>52</v>
      </c>
      <c r="C8" s="41">
        <f t="shared" ca="1" si="0"/>
        <v>25</v>
      </c>
      <c r="D8" s="36" t="s">
        <v>149</v>
      </c>
      <c r="E8" s="36">
        <f t="shared" ca="1" si="1"/>
        <v>36</v>
      </c>
      <c r="F8" s="36" t="s">
        <v>157</v>
      </c>
      <c r="G8" s="42">
        <f t="shared" ca="1" si="2"/>
        <v>4635122043897</v>
      </c>
      <c r="H8" s="43">
        <f t="shared" ca="1" si="3"/>
        <v>42341</v>
      </c>
      <c r="I8" s="36" t="s">
        <v>167</v>
      </c>
    </row>
    <row r="9" spans="1:9">
      <c r="A9" s="44">
        <v>5</v>
      </c>
      <c r="B9" s="40" t="s">
        <v>58</v>
      </c>
      <c r="C9" s="41">
        <f t="shared" ca="1" si="0"/>
        <v>30</v>
      </c>
      <c r="D9" s="36" t="s">
        <v>149</v>
      </c>
      <c r="E9" s="36">
        <f t="shared" ca="1" si="1"/>
        <v>32</v>
      </c>
      <c r="F9" s="36" t="s">
        <v>164</v>
      </c>
      <c r="G9" s="42">
        <f t="shared" ca="1" si="2"/>
        <v>3029587206479</v>
      </c>
      <c r="H9" s="43">
        <f t="shared" ca="1" si="3"/>
        <v>39989</v>
      </c>
      <c r="I9" s="36" t="s">
        <v>167</v>
      </c>
    </row>
    <row r="10" spans="1:9">
      <c r="A10" s="44">
        <v>6</v>
      </c>
      <c r="B10" s="40" t="s">
        <v>53</v>
      </c>
      <c r="C10" s="41">
        <f t="shared" ca="1" si="0"/>
        <v>29</v>
      </c>
      <c r="D10" s="36" t="s">
        <v>149</v>
      </c>
      <c r="E10" s="36">
        <f t="shared" ca="1" si="1"/>
        <v>33</v>
      </c>
      <c r="F10" s="36" t="s">
        <v>159</v>
      </c>
      <c r="G10" s="42">
        <f t="shared" ca="1" si="2"/>
        <v>3436973666593</v>
      </c>
      <c r="H10" s="43">
        <f t="shared" ca="1" si="3"/>
        <v>40971</v>
      </c>
      <c r="I10" s="36" t="s">
        <v>167</v>
      </c>
    </row>
    <row r="11" spans="1:9">
      <c r="A11" s="44">
        <v>7</v>
      </c>
      <c r="B11" s="40" t="s">
        <v>54</v>
      </c>
      <c r="C11" s="41">
        <f t="shared" ca="1" si="0"/>
        <v>29</v>
      </c>
      <c r="D11" s="36" t="s">
        <v>149</v>
      </c>
      <c r="E11" s="36">
        <f t="shared" ca="1" si="1"/>
        <v>40</v>
      </c>
      <c r="F11" s="36" t="s">
        <v>151</v>
      </c>
      <c r="G11" s="42">
        <f t="shared" ca="1" si="2"/>
        <v>2000387516838</v>
      </c>
      <c r="H11" s="43">
        <f t="shared" ca="1" si="3"/>
        <v>42029</v>
      </c>
      <c r="I11" s="36" t="s">
        <v>167</v>
      </c>
    </row>
    <row r="12" spans="1:9">
      <c r="A12" s="44">
        <v>8</v>
      </c>
      <c r="B12" s="40" t="s">
        <v>55</v>
      </c>
      <c r="C12" s="41">
        <f t="shared" ca="1" si="0"/>
        <v>25</v>
      </c>
      <c r="D12" s="36" t="s">
        <v>149</v>
      </c>
      <c r="E12" s="36">
        <f t="shared" ca="1" si="1"/>
        <v>32</v>
      </c>
      <c r="F12" s="36" t="s">
        <v>160</v>
      </c>
      <c r="G12" s="42">
        <f t="shared" ca="1" si="2"/>
        <v>7712713102151</v>
      </c>
      <c r="H12" s="43">
        <f t="shared" ca="1" si="3"/>
        <v>41010</v>
      </c>
      <c r="I12" s="36" t="s">
        <v>167</v>
      </c>
    </row>
    <row r="13" spans="1:9">
      <c r="A13" s="44">
        <v>9</v>
      </c>
      <c r="B13" s="40" t="s">
        <v>56</v>
      </c>
      <c r="C13" s="41">
        <f t="shared" ca="1" si="0"/>
        <v>26</v>
      </c>
      <c r="D13" s="36" t="s">
        <v>150</v>
      </c>
      <c r="E13" s="36">
        <f t="shared" ca="1" si="1"/>
        <v>19</v>
      </c>
      <c r="F13" s="36" t="s">
        <v>153</v>
      </c>
      <c r="G13" s="42">
        <f t="shared" ca="1" si="2"/>
        <v>7166251932188</v>
      </c>
      <c r="H13" s="43">
        <f t="shared" ca="1" si="3"/>
        <v>38770</v>
      </c>
      <c r="I13" s="36" t="s">
        <v>167</v>
      </c>
    </row>
    <row r="14" spans="1:9">
      <c r="A14" s="44">
        <v>10</v>
      </c>
      <c r="B14" s="40" t="s">
        <v>57</v>
      </c>
      <c r="C14" s="41">
        <f t="shared" ca="1" si="0"/>
        <v>25</v>
      </c>
      <c r="D14" s="36" t="s">
        <v>149</v>
      </c>
      <c r="E14" s="36">
        <f t="shared" ca="1" si="1"/>
        <v>39</v>
      </c>
      <c r="F14" s="36" t="s">
        <v>164</v>
      </c>
      <c r="G14" s="42">
        <f t="shared" ca="1" si="2"/>
        <v>6608565429060</v>
      </c>
      <c r="H14" s="43">
        <f t="shared" ca="1" si="3"/>
        <v>40909</v>
      </c>
      <c r="I14" s="36" t="s">
        <v>167</v>
      </c>
    </row>
    <row r="15" spans="1:9">
      <c r="A15" s="44">
        <v>11</v>
      </c>
      <c r="B15" s="40" t="s">
        <v>59</v>
      </c>
      <c r="C15" s="41">
        <f t="shared" ca="1" si="0"/>
        <v>25</v>
      </c>
      <c r="D15" s="36" t="s">
        <v>149</v>
      </c>
      <c r="E15" s="36">
        <f t="shared" ca="1" si="1"/>
        <v>27</v>
      </c>
      <c r="F15" s="36" t="s">
        <v>164</v>
      </c>
      <c r="G15" s="42">
        <f t="shared" ca="1" si="2"/>
        <v>4815849377866</v>
      </c>
      <c r="H15" s="43">
        <f t="shared" ca="1" si="3"/>
        <v>38896</v>
      </c>
      <c r="I15" s="36" t="s">
        <v>167</v>
      </c>
    </row>
    <row r="16" spans="1:9">
      <c r="A16" s="44">
        <v>12</v>
      </c>
      <c r="B16" s="40" t="s">
        <v>60</v>
      </c>
      <c r="C16" s="41">
        <f t="shared" ca="1" si="0"/>
        <v>26</v>
      </c>
      <c r="D16" s="36" t="s">
        <v>150</v>
      </c>
      <c r="E16" s="36">
        <f t="shared" ca="1" si="1"/>
        <v>30</v>
      </c>
      <c r="F16" s="36" t="s">
        <v>151</v>
      </c>
      <c r="G16" s="42">
        <f t="shared" ca="1" si="2"/>
        <v>8510986832483</v>
      </c>
      <c r="H16" s="43">
        <f t="shared" ca="1" si="3"/>
        <v>42904</v>
      </c>
      <c r="I16" s="36" t="s">
        <v>167</v>
      </c>
    </row>
    <row r="17" spans="1:9">
      <c r="A17" s="44">
        <v>13</v>
      </c>
      <c r="B17" s="40" t="s">
        <v>61</v>
      </c>
      <c r="C17" s="41">
        <f t="shared" ca="1" si="0"/>
        <v>30</v>
      </c>
      <c r="D17" s="36" t="s">
        <v>150</v>
      </c>
      <c r="E17" s="36">
        <f t="shared" ca="1" si="1"/>
        <v>39</v>
      </c>
      <c r="F17" s="36" t="s">
        <v>156</v>
      </c>
      <c r="G17" s="42">
        <f t="shared" ca="1" si="2"/>
        <v>7163652146363</v>
      </c>
      <c r="H17" s="43">
        <f t="shared" ca="1" si="3"/>
        <v>37856</v>
      </c>
      <c r="I17" s="36" t="s">
        <v>167</v>
      </c>
    </row>
    <row r="18" spans="1:9">
      <c r="A18" s="44">
        <v>14</v>
      </c>
      <c r="B18" s="40" t="s">
        <v>62</v>
      </c>
      <c r="C18" s="41">
        <f t="shared" ca="1" si="0"/>
        <v>30</v>
      </c>
      <c r="D18" s="36" t="s">
        <v>150</v>
      </c>
      <c r="E18" s="36">
        <f t="shared" ca="1" si="1"/>
        <v>22</v>
      </c>
      <c r="F18" s="36" t="s">
        <v>153</v>
      </c>
      <c r="G18" s="42">
        <f t="shared" ca="1" si="2"/>
        <v>2236176525608</v>
      </c>
      <c r="H18" s="43">
        <f t="shared" ca="1" si="3"/>
        <v>41907</v>
      </c>
      <c r="I18" s="36" t="s">
        <v>167</v>
      </c>
    </row>
    <row r="19" spans="1:9">
      <c r="A19" s="44">
        <v>15</v>
      </c>
      <c r="B19" s="40" t="s">
        <v>63</v>
      </c>
      <c r="C19" s="41">
        <f t="shared" ca="1" si="0"/>
        <v>28</v>
      </c>
      <c r="D19" s="36" t="s">
        <v>149</v>
      </c>
      <c r="E19" s="36">
        <f t="shared" ca="1" si="1"/>
        <v>39</v>
      </c>
      <c r="F19" s="36" t="s">
        <v>153</v>
      </c>
      <c r="G19" s="42">
        <f t="shared" ca="1" si="2"/>
        <v>6089830037855</v>
      </c>
      <c r="H19" s="43">
        <f t="shared" ca="1" si="3"/>
        <v>40845</v>
      </c>
      <c r="I19" s="36" t="s">
        <v>167</v>
      </c>
    </row>
    <row r="20" spans="1:9">
      <c r="A20" s="44">
        <v>16</v>
      </c>
      <c r="B20" s="40" t="s">
        <v>64</v>
      </c>
      <c r="C20" s="41">
        <f t="shared" ca="1" si="0"/>
        <v>25</v>
      </c>
      <c r="D20" s="36" t="s">
        <v>149</v>
      </c>
      <c r="E20" s="36">
        <f t="shared" ca="1" si="1"/>
        <v>40</v>
      </c>
      <c r="F20" s="36" t="s">
        <v>153</v>
      </c>
      <c r="G20" s="42">
        <f t="shared" ca="1" si="2"/>
        <v>7196897515379</v>
      </c>
      <c r="H20" s="43">
        <f t="shared" ca="1" si="3"/>
        <v>38058</v>
      </c>
      <c r="I20" s="36" t="s">
        <v>167</v>
      </c>
    </row>
    <row r="21" spans="1:9">
      <c r="A21" s="44">
        <v>17</v>
      </c>
      <c r="B21" s="40" t="s">
        <v>65</v>
      </c>
      <c r="C21" s="41">
        <f t="shared" ca="1" si="0"/>
        <v>26</v>
      </c>
      <c r="D21" s="36" t="s">
        <v>149</v>
      </c>
      <c r="E21" s="36">
        <f t="shared" ca="1" si="1"/>
        <v>27</v>
      </c>
      <c r="F21" s="36" t="s">
        <v>155</v>
      </c>
      <c r="G21" s="42">
        <f t="shared" ca="1" si="2"/>
        <v>2648248913804</v>
      </c>
      <c r="H21" s="43">
        <f t="shared" ca="1" si="3"/>
        <v>40256</v>
      </c>
      <c r="I21" s="36" t="s">
        <v>167</v>
      </c>
    </row>
    <row r="22" spans="1:9">
      <c r="A22" s="44">
        <v>18</v>
      </c>
      <c r="B22" s="40" t="s">
        <v>66</v>
      </c>
      <c r="C22" s="41">
        <f t="shared" ca="1" si="0"/>
        <v>26</v>
      </c>
      <c r="D22" s="36" t="s">
        <v>150</v>
      </c>
      <c r="E22" s="36">
        <f t="shared" ca="1" si="1"/>
        <v>37</v>
      </c>
      <c r="F22" s="36" t="s">
        <v>156</v>
      </c>
      <c r="G22" s="42">
        <f t="shared" ca="1" si="2"/>
        <v>2908174357749</v>
      </c>
      <c r="H22" s="43">
        <f t="shared" ca="1" si="3"/>
        <v>41161</v>
      </c>
      <c r="I22" s="36" t="s">
        <v>167</v>
      </c>
    </row>
    <row r="23" spans="1:9">
      <c r="A23" s="44">
        <v>19</v>
      </c>
      <c r="B23" s="40" t="s">
        <v>67</v>
      </c>
      <c r="C23" s="41">
        <f t="shared" ca="1" si="0"/>
        <v>29</v>
      </c>
      <c r="D23" s="36" t="s">
        <v>150</v>
      </c>
      <c r="E23" s="36">
        <f t="shared" ca="1" si="1"/>
        <v>34</v>
      </c>
      <c r="F23" s="36" t="s">
        <v>152</v>
      </c>
      <c r="G23" s="42">
        <f t="shared" ca="1" si="2"/>
        <v>2618138159116</v>
      </c>
      <c r="H23" s="43">
        <f t="shared" ca="1" si="3"/>
        <v>42252</v>
      </c>
      <c r="I23" s="36" t="s">
        <v>167</v>
      </c>
    </row>
    <row r="24" spans="1:9">
      <c r="A24" s="44">
        <v>20</v>
      </c>
      <c r="B24" s="40" t="s">
        <v>68</v>
      </c>
      <c r="C24" s="41">
        <f t="shared" ca="1" si="0"/>
        <v>26</v>
      </c>
      <c r="D24" s="36" t="s">
        <v>150</v>
      </c>
      <c r="E24" s="36">
        <f t="shared" ca="1" si="1"/>
        <v>34</v>
      </c>
      <c r="F24" s="36" t="s">
        <v>164</v>
      </c>
      <c r="G24" s="42">
        <f t="shared" ca="1" si="2"/>
        <v>4296162925511</v>
      </c>
      <c r="H24" s="43">
        <f t="shared" ca="1" si="3"/>
        <v>42217</v>
      </c>
      <c r="I24" s="36" t="s">
        <v>167</v>
      </c>
    </row>
    <row r="25" spans="1:9">
      <c r="A25" s="44">
        <v>21</v>
      </c>
      <c r="B25" s="40" t="s">
        <v>69</v>
      </c>
      <c r="C25" s="41">
        <f t="shared" ca="1" si="0"/>
        <v>26</v>
      </c>
      <c r="D25" s="36" t="s">
        <v>150</v>
      </c>
      <c r="E25" s="36">
        <f t="shared" ca="1" si="1"/>
        <v>18</v>
      </c>
      <c r="F25" s="36" t="s">
        <v>156</v>
      </c>
      <c r="G25" s="42">
        <f t="shared" ca="1" si="2"/>
        <v>7137544656841</v>
      </c>
      <c r="H25" s="43">
        <f t="shared" ca="1" si="3"/>
        <v>41898</v>
      </c>
      <c r="I25" s="36" t="s">
        <v>167</v>
      </c>
    </row>
    <row r="26" spans="1:9">
      <c r="A26" s="44">
        <v>22</v>
      </c>
      <c r="B26" s="40" t="s">
        <v>70</v>
      </c>
      <c r="C26" s="41">
        <f t="shared" ca="1" si="0"/>
        <v>30</v>
      </c>
      <c r="D26" s="36" t="s">
        <v>149</v>
      </c>
      <c r="E26" s="36">
        <f t="shared" ca="1" si="1"/>
        <v>22</v>
      </c>
      <c r="F26" s="36" t="s">
        <v>153</v>
      </c>
      <c r="G26" s="42">
        <f t="shared" ca="1" si="2"/>
        <v>7590077654275</v>
      </c>
      <c r="H26" s="43">
        <f t="shared" ca="1" si="3"/>
        <v>42961</v>
      </c>
      <c r="I26" s="36" t="s">
        <v>167</v>
      </c>
    </row>
    <row r="27" spans="1:9">
      <c r="A27" s="44">
        <v>23</v>
      </c>
      <c r="B27" s="40" t="s">
        <v>71</v>
      </c>
      <c r="C27" s="41">
        <f t="shared" ca="1" si="0"/>
        <v>27</v>
      </c>
      <c r="D27" s="36" t="s">
        <v>149</v>
      </c>
      <c r="E27" s="36">
        <f t="shared" ca="1" si="1"/>
        <v>24</v>
      </c>
      <c r="F27" s="36" t="s">
        <v>166</v>
      </c>
      <c r="G27" s="42">
        <f t="shared" ca="1" si="2"/>
        <v>3409359860227</v>
      </c>
      <c r="H27" s="43">
        <f t="shared" ca="1" si="3"/>
        <v>37150</v>
      </c>
      <c r="I27" s="36" t="s">
        <v>167</v>
      </c>
    </row>
    <row r="28" spans="1:9">
      <c r="A28" s="44">
        <v>24</v>
      </c>
      <c r="B28" s="40" t="s">
        <v>72</v>
      </c>
      <c r="C28" s="41">
        <f t="shared" ca="1" si="0"/>
        <v>25</v>
      </c>
      <c r="D28" s="36" t="s">
        <v>150</v>
      </c>
      <c r="E28" s="36">
        <f t="shared" ca="1" si="1"/>
        <v>35</v>
      </c>
      <c r="F28" s="36" t="s">
        <v>153</v>
      </c>
      <c r="G28" s="42">
        <f t="shared" ca="1" si="2"/>
        <v>2436457421961</v>
      </c>
      <c r="H28" s="43">
        <f t="shared" ca="1" si="3"/>
        <v>38156</v>
      </c>
      <c r="I28" s="36" t="s">
        <v>167</v>
      </c>
    </row>
    <row r="29" spans="1:9">
      <c r="A29" s="44">
        <v>25</v>
      </c>
      <c r="B29" s="40" t="s">
        <v>73</v>
      </c>
      <c r="C29" s="41">
        <f t="shared" ca="1" si="0"/>
        <v>30</v>
      </c>
      <c r="D29" s="36" t="s">
        <v>149</v>
      </c>
      <c r="E29" s="36">
        <f t="shared" ca="1" si="1"/>
        <v>29</v>
      </c>
      <c r="F29" s="36" t="s">
        <v>157</v>
      </c>
      <c r="G29" s="42">
        <f t="shared" ca="1" si="2"/>
        <v>8016148904700</v>
      </c>
      <c r="H29" s="43">
        <f t="shared" ca="1" si="3"/>
        <v>42179</v>
      </c>
      <c r="I29" s="36" t="s">
        <v>167</v>
      </c>
    </row>
    <row r="30" spans="1:9">
      <c r="A30" s="44">
        <v>26</v>
      </c>
      <c r="B30" s="40" t="s">
        <v>74</v>
      </c>
      <c r="C30" s="41">
        <f t="shared" ca="1" si="0"/>
        <v>28</v>
      </c>
      <c r="D30" s="36" t="s">
        <v>150</v>
      </c>
      <c r="E30" s="36">
        <f t="shared" ca="1" si="1"/>
        <v>31</v>
      </c>
      <c r="F30" s="36" t="s">
        <v>153</v>
      </c>
      <c r="G30" s="42">
        <f t="shared" ca="1" si="2"/>
        <v>8482197240398</v>
      </c>
      <c r="H30" s="43">
        <f t="shared" ca="1" si="3"/>
        <v>41309</v>
      </c>
      <c r="I30" s="36" t="s">
        <v>167</v>
      </c>
    </row>
    <row r="31" spans="1:9">
      <c r="A31" s="44">
        <v>27</v>
      </c>
      <c r="B31" s="40" t="s">
        <v>75</v>
      </c>
      <c r="C31" s="41">
        <f t="shared" ca="1" si="0"/>
        <v>25</v>
      </c>
      <c r="D31" s="36" t="s">
        <v>150</v>
      </c>
      <c r="E31" s="36">
        <f t="shared" ca="1" si="1"/>
        <v>25</v>
      </c>
      <c r="F31" s="36" t="s">
        <v>160</v>
      </c>
      <c r="G31" s="42">
        <f t="shared" ca="1" si="2"/>
        <v>5279929448720</v>
      </c>
      <c r="H31" s="43">
        <f t="shared" ca="1" si="3"/>
        <v>37168</v>
      </c>
      <c r="I31" s="36" t="s">
        <v>167</v>
      </c>
    </row>
    <row r="32" spans="1:9">
      <c r="A32" s="44">
        <v>28</v>
      </c>
      <c r="B32" s="40" t="s">
        <v>76</v>
      </c>
      <c r="C32" s="41">
        <f t="shared" ca="1" si="0"/>
        <v>30</v>
      </c>
      <c r="D32" s="36" t="s">
        <v>149</v>
      </c>
      <c r="E32" s="36">
        <f t="shared" ca="1" si="1"/>
        <v>27</v>
      </c>
      <c r="F32" s="36" t="s">
        <v>166</v>
      </c>
      <c r="G32" s="42">
        <f t="shared" ca="1" si="2"/>
        <v>3950345964533</v>
      </c>
      <c r="H32" s="43">
        <f t="shared" ca="1" si="3"/>
        <v>41067</v>
      </c>
      <c r="I32" s="36" t="s">
        <v>167</v>
      </c>
    </row>
    <row r="33" spans="1:9">
      <c r="A33" s="44">
        <v>29</v>
      </c>
      <c r="B33" s="40" t="s">
        <v>77</v>
      </c>
      <c r="C33" s="41">
        <f t="shared" ca="1" si="0"/>
        <v>30</v>
      </c>
      <c r="D33" s="36" t="s">
        <v>149</v>
      </c>
      <c r="E33" s="36">
        <f t="shared" ca="1" si="1"/>
        <v>39</v>
      </c>
      <c r="F33" s="36" t="s">
        <v>151</v>
      </c>
      <c r="G33" s="42">
        <f t="shared" ca="1" si="2"/>
        <v>5963521005942</v>
      </c>
      <c r="H33" s="43">
        <f t="shared" ca="1" si="3"/>
        <v>42102</v>
      </c>
      <c r="I33" s="36" t="s">
        <v>167</v>
      </c>
    </row>
    <row r="34" spans="1:9">
      <c r="A34" s="44">
        <v>30</v>
      </c>
      <c r="B34" s="40" t="s">
        <v>78</v>
      </c>
      <c r="C34" s="41">
        <f t="shared" ca="1" si="0"/>
        <v>25</v>
      </c>
      <c r="D34" s="36" t="s">
        <v>150</v>
      </c>
      <c r="E34" s="36">
        <f t="shared" ca="1" si="1"/>
        <v>30</v>
      </c>
      <c r="F34" s="36" t="s">
        <v>166</v>
      </c>
      <c r="G34" s="42">
        <f t="shared" ca="1" si="2"/>
        <v>7924320150217</v>
      </c>
      <c r="H34" s="43">
        <f t="shared" ca="1" si="3"/>
        <v>40068</v>
      </c>
      <c r="I34" s="36" t="s">
        <v>167</v>
      </c>
    </row>
    <row r="35" spans="1:9">
      <c r="A35" s="44">
        <v>31</v>
      </c>
      <c r="B35" s="40" t="s">
        <v>79</v>
      </c>
      <c r="C35" s="41">
        <f t="shared" ca="1" si="0"/>
        <v>30</v>
      </c>
      <c r="D35" s="36" t="s">
        <v>149</v>
      </c>
      <c r="E35" s="36">
        <f t="shared" ca="1" si="1"/>
        <v>26</v>
      </c>
      <c r="F35" s="36" t="s">
        <v>153</v>
      </c>
      <c r="G35" s="42">
        <f t="shared" ca="1" si="2"/>
        <v>5058431178027</v>
      </c>
      <c r="H35" s="43">
        <f t="shared" ca="1" si="3"/>
        <v>43000</v>
      </c>
      <c r="I35" s="36" t="s">
        <v>167</v>
      </c>
    </row>
    <row r="36" spans="1:9">
      <c r="A36" s="44">
        <v>32</v>
      </c>
      <c r="B36" s="40" t="s">
        <v>80</v>
      </c>
      <c r="C36" s="41">
        <f t="shared" ca="1" si="0"/>
        <v>27</v>
      </c>
      <c r="D36" s="36" t="s">
        <v>150</v>
      </c>
      <c r="E36" s="36">
        <f t="shared" ca="1" si="1"/>
        <v>38</v>
      </c>
      <c r="F36" s="36" t="s">
        <v>166</v>
      </c>
      <c r="G36" s="42">
        <f t="shared" ca="1" si="2"/>
        <v>4642587303869</v>
      </c>
      <c r="H36" s="43">
        <f t="shared" ca="1" si="3"/>
        <v>39062</v>
      </c>
      <c r="I36" s="36" t="s">
        <v>167</v>
      </c>
    </row>
    <row r="37" spans="1:9">
      <c r="A37" s="44">
        <v>33</v>
      </c>
      <c r="B37" s="40" t="s">
        <v>81</v>
      </c>
      <c r="C37" s="41">
        <f t="shared" ref="C37:C68" ca="1" si="4">RANDBETWEEN(25,30)</f>
        <v>29</v>
      </c>
      <c r="D37" s="36" t="s">
        <v>149</v>
      </c>
      <c r="E37" s="36">
        <f t="shared" ref="E37:E68" ca="1" si="5">RANDBETWEEN(18,41)</f>
        <v>36</v>
      </c>
      <c r="F37" s="36" t="s">
        <v>166</v>
      </c>
      <c r="G37" s="42">
        <f t="shared" ref="G37:G68" ca="1" si="6">RANDBETWEEN(2000000000101,9000000009999)</f>
        <v>8394148477253</v>
      </c>
      <c r="H37" s="43">
        <f t="shared" ref="H37:H68" ca="1" si="7">RANDBETWEEN(DATE(2001,1,1),DATE(2018,7,15))</f>
        <v>38884</v>
      </c>
      <c r="I37" s="36" t="s">
        <v>167</v>
      </c>
    </row>
    <row r="38" spans="1:9">
      <c r="A38" s="44">
        <v>34</v>
      </c>
      <c r="B38" s="40" t="s">
        <v>82</v>
      </c>
      <c r="C38" s="41">
        <f t="shared" ca="1" si="4"/>
        <v>26</v>
      </c>
      <c r="D38" s="36" t="s">
        <v>150</v>
      </c>
      <c r="E38" s="36">
        <f t="shared" ca="1" si="5"/>
        <v>33</v>
      </c>
      <c r="F38" s="36" t="s">
        <v>166</v>
      </c>
      <c r="G38" s="42">
        <f t="shared" ca="1" si="6"/>
        <v>2923826817714</v>
      </c>
      <c r="H38" s="43">
        <f t="shared" ca="1" si="7"/>
        <v>38683</v>
      </c>
      <c r="I38" s="36" t="s">
        <v>167</v>
      </c>
    </row>
    <row r="39" spans="1:9">
      <c r="A39" s="44">
        <v>35</v>
      </c>
      <c r="B39" s="40" t="s">
        <v>83</v>
      </c>
      <c r="C39" s="41">
        <f t="shared" ca="1" si="4"/>
        <v>26</v>
      </c>
      <c r="D39" s="36" t="s">
        <v>150</v>
      </c>
      <c r="E39" s="36">
        <f t="shared" ca="1" si="5"/>
        <v>20</v>
      </c>
      <c r="F39" s="36" t="s">
        <v>153</v>
      </c>
      <c r="G39" s="42">
        <f t="shared" ca="1" si="6"/>
        <v>6646531601881</v>
      </c>
      <c r="H39" s="43">
        <f t="shared" ca="1" si="7"/>
        <v>38057</v>
      </c>
      <c r="I39" s="36" t="s">
        <v>167</v>
      </c>
    </row>
    <row r="40" spans="1:9">
      <c r="A40" s="44">
        <v>36</v>
      </c>
      <c r="B40" s="40" t="s">
        <v>84</v>
      </c>
      <c r="C40" s="41">
        <f t="shared" ca="1" si="4"/>
        <v>26</v>
      </c>
      <c r="D40" s="36" t="s">
        <v>149</v>
      </c>
      <c r="E40" s="36">
        <f t="shared" ca="1" si="5"/>
        <v>28</v>
      </c>
      <c r="F40" s="36" t="s">
        <v>152</v>
      </c>
      <c r="G40" s="42">
        <f t="shared" ca="1" si="6"/>
        <v>8788823294726</v>
      </c>
      <c r="H40" s="43">
        <f t="shared" ca="1" si="7"/>
        <v>39325</v>
      </c>
      <c r="I40" s="36" t="s">
        <v>167</v>
      </c>
    </row>
    <row r="41" spans="1:9">
      <c r="A41" s="44">
        <v>37</v>
      </c>
      <c r="B41" s="40" t="s">
        <v>85</v>
      </c>
      <c r="C41" s="41">
        <f t="shared" ca="1" si="4"/>
        <v>25</v>
      </c>
      <c r="D41" s="36" t="s">
        <v>149</v>
      </c>
      <c r="E41" s="36">
        <f t="shared" ca="1" si="5"/>
        <v>39</v>
      </c>
      <c r="F41" s="36" t="s">
        <v>166</v>
      </c>
      <c r="G41" s="42">
        <f t="shared" ca="1" si="6"/>
        <v>6794004831176</v>
      </c>
      <c r="H41" s="43">
        <f t="shared" ca="1" si="7"/>
        <v>41767</v>
      </c>
      <c r="I41" s="36" t="s">
        <v>167</v>
      </c>
    </row>
    <row r="42" spans="1:9">
      <c r="A42" s="44">
        <v>38</v>
      </c>
      <c r="B42" s="40" t="s">
        <v>86</v>
      </c>
      <c r="C42" s="41">
        <f t="shared" ca="1" si="4"/>
        <v>25</v>
      </c>
      <c r="D42" s="36" t="s">
        <v>150</v>
      </c>
      <c r="E42" s="36">
        <f t="shared" ca="1" si="5"/>
        <v>29</v>
      </c>
      <c r="F42" s="36" t="s">
        <v>155</v>
      </c>
      <c r="G42" s="42">
        <f t="shared" ca="1" si="6"/>
        <v>4721366891973</v>
      </c>
      <c r="H42" s="43">
        <f t="shared" ca="1" si="7"/>
        <v>37788</v>
      </c>
      <c r="I42" s="36" t="s">
        <v>167</v>
      </c>
    </row>
    <row r="43" spans="1:9">
      <c r="A43" s="44">
        <v>39</v>
      </c>
      <c r="B43" s="40" t="s">
        <v>87</v>
      </c>
      <c r="C43" s="41">
        <f t="shared" ca="1" si="4"/>
        <v>28</v>
      </c>
      <c r="D43" s="36" t="s">
        <v>150</v>
      </c>
      <c r="E43" s="36">
        <f t="shared" ca="1" si="5"/>
        <v>29</v>
      </c>
      <c r="F43" s="36" t="s">
        <v>156</v>
      </c>
      <c r="G43" s="42">
        <f t="shared" ca="1" si="6"/>
        <v>6566360364625</v>
      </c>
      <c r="H43" s="43">
        <f t="shared" ca="1" si="7"/>
        <v>38204</v>
      </c>
      <c r="I43" s="36" t="s">
        <v>167</v>
      </c>
    </row>
    <row r="44" spans="1:9">
      <c r="A44" s="44">
        <v>40</v>
      </c>
      <c r="B44" s="40" t="s">
        <v>88</v>
      </c>
      <c r="C44" s="41">
        <f t="shared" ca="1" si="4"/>
        <v>26</v>
      </c>
      <c r="D44" s="36" t="s">
        <v>149</v>
      </c>
      <c r="E44" s="36">
        <f t="shared" ca="1" si="5"/>
        <v>30</v>
      </c>
      <c r="F44" s="36" t="s">
        <v>153</v>
      </c>
      <c r="G44" s="42">
        <f t="shared" ca="1" si="6"/>
        <v>3546293576093</v>
      </c>
      <c r="H44" s="43">
        <f t="shared" ca="1" si="7"/>
        <v>41483</v>
      </c>
      <c r="I44" s="36" t="s">
        <v>167</v>
      </c>
    </row>
    <row r="45" spans="1:9">
      <c r="A45" s="44">
        <v>41</v>
      </c>
      <c r="B45" s="40" t="s">
        <v>89</v>
      </c>
      <c r="C45" s="41">
        <f t="shared" ca="1" si="4"/>
        <v>26</v>
      </c>
      <c r="D45" s="36" t="s">
        <v>150</v>
      </c>
      <c r="E45" s="36">
        <f t="shared" ca="1" si="5"/>
        <v>19</v>
      </c>
      <c r="F45" s="36" t="s">
        <v>166</v>
      </c>
      <c r="G45" s="42">
        <f t="shared" ca="1" si="6"/>
        <v>3712702287950</v>
      </c>
      <c r="H45" s="43">
        <f t="shared" ca="1" si="7"/>
        <v>39848</v>
      </c>
      <c r="I45" s="36" t="s">
        <v>167</v>
      </c>
    </row>
    <row r="46" spans="1:9">
      <c r="A46" s="44">
        <v>42</v>
      </c>
      <c r="B46" s="40" t="s">
        <v>90</v>
      </c>
      <c r="C46" s="41">
        <f t="shared" ca="1" si="4"/>
        <v>28</v>
      </c>
      <c r="D46" s="36" t="s">
        <v>150</v>
      </c>
      <c r="E46" s="36">
        <f t="shared" ca="1" si="5"/>
        <v>37</v>
      </c>
      <c r="F46" s="36" t="s">
        <v>153</v>
      </c>
      <c r="G46" s="42">
        <f t="shared" ca="1" si="6"/>
        <v>6535108065454</v>
      </c>
      <c r="H46" s="43">
        <f t="shared" ca="1" si="7"/>
        <v>39266</v>
      </c>
      <c r="I46" s="36" t="s">
        <v>167</v>
      </c>
    </row>
    <row r="47" spans="1:9">
      <c r="A47" s="44">
        <v>43</v>
      </c>
      <c r="B47" s="40" t="s">
        <v>91</v>
      </c>
      <c r="C47" s="41">
        <f t="shared" ca="1" si="4"/>
        <v>29</v>
      </c>
      <c r="D47" s="36" t="s">
        <v>149</v>
      </c>
      <c r="E47" s="36">
        <f t="shared" ca="1" si="5"/>
        <v>22</v>
      </c>
      <c r="F47" s="36" t="s">
        <v>166</v>
      </c>
      <c r="G47" s="42">
        <f t="shared" ca="1" si="6"/>
        <v>3598479418179</v>
      </c>
      <c r="H47" s="43">
        <f t="shared" ca="1" si="7"/>
        <v>38279</v>
      </c>
      <c r="I47" s="36" t="s">
        <v>167</v>
      </c>
    </row>
    <row r="48" spans="1:9">
      <c r="A48" s="44">
        <v>44</v>
      </c>
      <c r="B48" s="40" t="s">
        <v>92</v>
      </c>
      <c r="C48" s="41">
        <f t="shared" ca="1" si="4"/>
        <v>26</v>
      </c>
      <c r="D48" s="36" t="s">
        <v>150</v>
      </c>
      <c r="E48" s="36">
        <f t="shared" ca="1" si="5"/>
        <v>29</v>
      </c>
      <c r="F48" s="36" t="s">
        <v>156</v>
      </c>
      <c r="G48" s="42">
        <f t="shared" ca="1" si="6"/>
        <v>8273380762231</v>
      </c>
      <c r="H48" s="43">
        <f t="shared" ca="1" si="7"/>
        <v>39246</v>
      </c>
      <c r="I48" s="36" t="s">
        <v>167</v>
      </c>
    </row>
    <row r="49" spans="1:9">
      <c r="A49" s="44">
        <v>45</v>
      </c>
      <c r="B49" s="40" t="s">
        <v>93</v>
      </c>
      <c r="C49" s="41">
        <f t="shared" ca="1" si="4"/>
        <v>25</v>
      </c>
      <c r="D49" s="36" t="s">
        <v>150</v>
      </c>
      <c r="E49" s="36">
        <f t="shared" ca="1" si="5"/>
        <v>29</v>
      </c>
      <c r="F49" s="36" t="s">
        <v>153</v>
      </c>
      <c r="G49" s="42">
        <f t="shared" ca="1" si="6"/>
        <v>2194671582409</v>
      </c>
      <c r="H49" s="43">
        <f t="shared" ca="1" si="7"/>
        <v>43161</v>
      </c>
      <c r="I49" s="36" t="s">
        <v>167</v>
      </c>
    </row>
    <row r="50" spans="1:9">
      <c r="A50" s="44">
        <v>46</v>
      </c>
      <c r="B50" s="40" t="s">
        <v>94</v>
      </c>
      <c r="C50" s="41">
        <f t="shared" ca="1" si="4"/>
        <v>28</v>
      </c>
      <c r="D50" s="36" t="s">
        <v>150</v>
      </c>
      <c r="E50" s="36">
        <f t="shared" ca="1" si="5"/>
        <v>39</v>
      </c>
      <c r="F50" s="36" t="s">
        <v>166</v>
      </c>
      <c r="G50" s="42">
        <f t="shared" ca="1" si="6"/>
        <v>3756225452508</v>
      </c>
      <c r="H50" s="43">
        <f t="shared" ca="1" si="7"/>
        <v>39629</v>
      </c>
      <c r="I50" s="36" t="s">
        <v>167</v>
      </c>
    </row>
    <row r="51" spans="1:9">
      <c r="A51" s="44">
        <v>47</v>
      </c>
      <c r="B51" s="40" t="s">
        <v>95</v>
      </c>
      <c r="C51" s="41">
        <f t="shared" ca="1" si="4"/>
        <v>25</v>
      </c>
      <c r="D51" s="36" t="s">
        <v>149</v>
      </c>
      <c r="E51" s="36">
        <f t="shared" ca="1" si="5"/>
        <v>18</v>
      </c>
      <c r="F51" s="36" t="s">
        <v>166</v>
      </c>
      <c r="G51" s="42">
        <f t="shared" ca="1" si="6"/>
        <v>6272293189298</v>
      </c>
      <c r="H51" s="43">
        <f t="shared" ca="1" si="7"/>
        <v>39951</v>
      </c>
      <c r="I51" s="36" t="s">
        <v>167</v>
      </c>
    </row>
    <row r="52" spans="1:9">
      <c r="A52" s="44">
        <v>48</v>
      </c>
      <c r="B52" s="40" t="s">
        <v>96</v>
      </c>
      <c r="C52" s="41">
        <f t="shared" ca="1" si="4"/>
        <v>30</v>
      </c>
      <c r="D52" s="36" t="s">
        <v>150</v>
      </c>
      <c r="E52" s="36">
        <f t="shared" ca="1" si="5"/>
        <v>18</v>
      </c>
      <c r="F52" s="36" t="s">
        <v>152</v>
      </c>
      <c r="G52" s="42">
        <f t="shared" ca="1" si="6"/>
        <v>7717874151300</v>
      </c>
      <c r="H52" s="43">
        <f t="shared" ca="1" si="7"/>
        <v>39891</v>
      </c>
      <c r="I52" s="36" t="s">
        <v>167</v>
      </c>
    </row>
    <row r="53" spans="1:9">
      <c r="A53" s="44">
        <v>49</v>
      </c>
      <c r="B53" s="40" t="s">
        <v>97</v>
      </c>
      <c r="C53" s="41">
        <f t="shared" ca="1" si="4"/>
        <v>27</v>
      </c>
      <c r="D53" s="36" t="s">
        <v>149</v>
      </c>
      <c r="E53" s="36">
        <f t="shared" ca="1" si="5"/>
        <v>33</v>
      </c>
      <c r="F53" s="36" t="s">
        <v>166</v>
      </c>
      <c r="G53" s="42">
        <f t="shared" ca="1" si="6"/>
        <v>6988410645391</v>
      </c>
      <c r="H53" s="43">
        <f t="shared" ca="1" si="7"/>
        <v>39637</v>
      </c>
      <c r="I53" s="36" t="s">
        <v>167</v>
      </c>
    </row>
    <row r="54" spans="1:9">
      <c r="A54" s="44">
        <v>50</v>
      </c>
      <c r="B54" s="40" t="s">
        <v>98</v>
      </c>
      <c r="C54" s="41">
        <f t="shared" ca="1" si="4"/>
        <v>27</v>
      </c>
      <c r="D54" s="36" t="s">
        <v>149</v>
      </c>
      <c r="E54" s="36">
        <f t="shared" ca="1" si="5"/>
        <v>38</v>
      </c>
      <c r="F54" s="36" t="s">
        <v>164</v>
      </c>
      <c r="G54" s="42">
        <f t="shared" ca="1" si="6"/>
        <v>8768077751894</v>
      </c>
      <c r="H54" s="43">
        <f t="shared" ca="1" si="7"/>
        <v>37965</v>
      </c>
      <c r="I54" s="36" t="s">
        <v>167</v>
      </c>
    </row>
    <row r="55" spans="1:9">
      <c r="A55" s="44">
        <v>51</v>
      </c>
      <c r="B55" s="40" t="s">
        <v>99</v>
      </c>
      <c r="C55" s="41">
        <f t="shared" ca="1" si="4"/>
        <v>30</v>
      </c>
      <c r="D55" s="36" t="s">
        <v>149</v>
      </c>
      <c r="E55" s="36">
        <f t="shared" ca="1" si="5"/>
        <v>31</v>
      </c>
      <c r="F55" s="36" t="s">
        <v>153</v>
      </c>
      <c r="G55" s="42">
        <f t="shared" ca="1" si="6"/>
        <v>6994916663191</v>
      </c>
      <c r="H55" s="43">
        <f t="shared" ca="1" si="7"/>
        <v>39593</v>
      </c>
      <c r="I55" s="36" t="s">
        <v>167</v>
      </c>
    </row>
    <row r="56" spans="1:9">
      <c r="A56" s="44">
        <v>52</v>
      </c>
      <c r="B56" s="40" t="s">
        <v>100</v>
      </c>
      <c r="C56" s="41">
        <f t="shared" ca="1" si="4"/>
        <v>26</v>
      </c>
      <c r="D56" s="36" t="s">
        <v>150</v>
      </c>
      <c r="E56" s="36">
        <f t="shared" ca="1" si="5"/>
        <v>32</v>
      </c>
      <c r="F56" s="36" t="s">
        <v>153</v>
      </c>
      <c r="G56" s="42">
        <f t="shared" ca="1" si="6"/>
        <v>2508101354847</v>
      </c>
      <c r="H56" s="43">
        <f t="shared" ca="1" si="7"/>
        <v>37938</v>
      </c>
      <c r="I56" s="36" t="s">
        <v>167</v>
      </c>
    </row>
    <row r="57" spans="1:9">
      <c r="A57" s="44">
        <v>53</v>
      </c>
      <c r="B57" s="40" t="s">
        <v>101</v>
      </c>
      <c r="C57" s="41">
        <f t="shared" ca="1" si="4"/>
        <v>28</v>
      </c>
      <c r="D57" s="36" t="s">
        <v>149</v>
      </c>
      <c r="E57" s="36">
        <f t="shared" ca="1" si="5"/>
        <v>20</v>
      </c>
      <c r="F57" s="36" t="s">
        <v>166</v>
      </c>
      <c r="G57" s="42">
        <f t="shared" ca="1" si="6"/>
        <v>7348634871786</v>
      </c>
      <c r="H57" s="43">
        <f t="shared" ca="1" si="7"/>
        <v>39838</v>
      </c>
      <c r="I57" s="36" t="s">
        <v>167</v>
      </c>
    </row>
    <row r="58" spans="1:9">
      <c r="A58" s="44">
        <v>54</v>
      </c>
      <c r="B58" s="40" t="s">
        <v>102</v>
      </c>
      <c r="C58" s="41">
        <f t="shared" ca="1" si="4"/>
        <v>29</v>
      </c>
      <c r="D58" s="36" t="s">
        <v>149</v>
      </c>
      <c r="E58" s="36">
        <f t="shared" ca="1" si="5"/>
        <v>18</v>
      </c>
      <c r="F58" s="36" t="s">
        <v>163</v>
      </c>
      <c r="G58" s="42">
        <f t="shared" ca="1" si="6"/>
        <v>3431271726529</v>
      </c>
      <c r="H58" s="43">
        <f t="shared" ca="1" si="7"/>
        <v>41780</v>
      </c>
      <c r="I58" s="36" t="s">
        <v>167</v>
      </c>
    </row>
    <row r="59" spans="1:9">
      <c r="A59" s="44">
        <v>55</v>
      </c>
      <c r="B59" s="40" t="s">
        <v>103</v>
      </c>
      <c r="C59" s="41">
        <f t="shared" ca="1" si="4"/>
        <v>26</v>
      </c>
      <c r="D59" s="36" t="s">
        <v>150</v>
      </c>
      <c r="E59" s="36">
        <f t="shared" ca="1" si="5"/>
        <v>37</v>
      </c>
      <c r="F59" s="36" t="s">
        <v>156</v>
      </c>
      <c r="G59" s="42">
        <f t="shared" ca="1" si="6"/>
        <v>6303945842980</v>
      </c>
      <c r="H59" s="43">
        <f t="shared" ca="1" si="7"/>
        <v>41275</v>
      </c>
      <c r="I59" s="36" t="s">
        <v>167</v>
      </c>
    </row>
    <row r="60" spans="1:9">
      <c r="A60" s="44">
        <v>56</v>
      </c>
      <c r="B60" s="40" t="s">
        <v>104</v>
      </c>
      <c r="C60" s="41">
        <f t="shared" ca="1" si="4"/>
        <v>30</v>
      </c>
      <c r="D60" s="36" t="s">
        <v>149</v>
      </c>
      <c r="E60" s="36">
        <f t="shared" ca="1" si="5"/>
        <v>30</v>
      </c>
      <c r="F60" s="36" t="s">
        <v>162</v>
      </c>
      <c r="G60" s="42">
        <f t="shared" ca="1" si="6"/>
        <v>2367260477910</v>
      </c>
      <c r="H60" s="43">
        <f t="shared" ca="1" si="7"/>
        <v>41769</v>
      </c>
      <c r="I60" s="36" t="s">
        <v>167</v>
      </c>
    </row>
    <row r="61" spans="1:9">
      <c r="A61" s="44">
        <v>57</v>
      </c>
      <c r="B61" s="40" t="s">
        <v>105</v>
      </c>
      <c r="C61" s="41">
        <f t="shared" ca="1" si="4"/>
        <v>25</v>
      </c>
      <c r="D61" s="36" t="s">
        <v>150</v>
      </c>
      <c r="E61" s="36">
        <f t="shared" ca="1" si="5"/>
        <v>38</v>
      </c>
      <c r="F61" s="36" t="s">
        <v>160</v>
      </c>
      <c r="G61" s="42">
        <f t="shared" ca="1" si="6"/>
        <v>3258657361332</v>
      </c>
      <c r="H61" s="43">
        <f t="shared" ca="1" si="7"/>
        <v>42344</v>
      </c>
      <c r="I61" s="36" t="s">
        <v>167</v>
      </c>
    </row>
    <row r="62" spans="1:9">
      <c r="A62" s="44">
        <v>58</v>
      </c>
      <c r="B62" s="40" t="s">
        <v>106</v>
      </c>
      <c r="C62" s="41">
        <f t="shared" ca="1" si="4"/>
        <v>28</v>
      </c>
      <c r="D62" s="36" t="s">
        <v>149</v>
      </c>
      <c r="E62" s="36">
        <f t="shared" ca="1" si="5"/>
        <v>39</v>
      </c>
      <c r="F62" s="36" t="s">
        <v>151</v>
      </c>
      <c r="G62" s="42">
        <f t="shared" ca="1" si="6"/>
        <v>2141267519201</v>
      </c>
      <c r="H62" s="43">
        <f t="shared" ca="1" si="7"/>
        <v>37601</v>
      </c>
      <c r="I62" s="36" t="s">
        <v>167</v>
      </c>
    </row>
    <row r="63" spans="1:9">
      <c r="A63" s="44">
        <v>59</v>
      </c>
      <c r="B63" s="40" t="s">
        <v>107</v>
      </c>
      <c r="C63" s="41">
        <f t="shared" ca="1" si="4"/>
        <v>26</v>
      </c>
      <c r="D63" s="36" t="s">
        <v>150</v>
      </c>
      <c r="E63" s="36">
        <f t="shared" ca="1" si="5"/>
        <v>23</v>
      </c>
      <c r="F63" s="36" t="s">
        <v>158</v>
      </c>
      <c r="G63" s="42">
        <f t="shared" ca="1" si="6"/>
        <v>2442527157124</v>
      </c>
      <c r="H63" s="43">
        <f t="shared" ca="1" si="7"/>
        <v>38611</v>
      </c>
      <c r="I63" s="36" t="s">
        <v>167</v>
      </c>
    </row>
    <row r="64" spans="1:9">
      <c r="A64" s="44">
        <v>60</v>
      </c>
      <c r="B64" s="40" t="s">
        <v>108</v>
      </c>
      <c r="C64" s="41">
        <f t="shared" ca="1" si="4"/>
        <v>30</v>
      </c>
      <c r="D64" s="36" t="s">
        <v>150</v>
      </c>
      <c r="E64" s="36">
        <f t="shared" ca="1" si="5"/>
        <v>20</v>
      </c>
      <c r="F64" s="36" t="s">
        <v>153</v>
      </c>
      <c r="G64" s="42">
        <f t="shared" ca="1" si="6"/>
        <v>3661855742473</v>
      </c>
      <c r="H64" s="43">
        <f t="shared" ca="1" si="7"/>
        <v>39610</v>
      </c>
      <c r="I64" s="36" t="s">
        <v>167</v>
      </c>
    </row>
    <row r="65" spans="1:9">
      <c r="A65" s="44">
        <v>61</v>
      </c>
      <c r="B65" s="40" t="s">
        <v>109</v>
      </c>
      <c r="C65" s="41">
        <f t="shared" ca="1" si="4"/>
        <v>28</v>
      </c>
      <c r="D65" s="36" t="s">
        <v>149</v>
      </c>
      <c r="E65" s="36">
        <f t="shared" ca="1" si="5"/>
        <v>28</v>
      </c>
      <c r="F65" s="36" t="s">
        <v>157</v>
      </c>
      <c r="G65" s="42">
        <f t="shared" ca="1" si="6"/>
        <v>7166227335486</v>
      </c>
      <c r="H65" s="43">
        <f t="shared" ca="1" si="7"/>
        <v>38038</v>
      </c>
      <c r="I65" s="36" t="s">
        <v>167</v>
      </c>
    </row>
    <row r="66" spans="1:9">
      <c r="A66" s="44">
        <v>62</v>
      </c>
      <c r="B66" s="40" t="s">
        <v>110</v>
      </c>
      <c r="C66" s="41">
        <f t="shared" ca="1" si="4"/>
        <v>28</v>
      </c>
      <c r="D66" s="36" t="s">
        <v>150</v>
      </c>
      <c r="E66" s="36">
        <f t="shared" ca="1" si="5"/>
        <v>26</v>
      </c>
      <c r="F66" s="36" t="s">
        <v>161</v>
      </c>
      <c r="G66" s="42">
        <f t="shared" ca="1" si="6"/>
        <v>5056516224218</v>
      </c>
      <c r="H66" s="43">
        <f t="shared" ca="1" si="7"/>
        <v>37932</v>
      </c>
      <c r="I66" s="36" t="s">
        <v>167</v>
      </c>
    </row>
    <row r="67" spans="1:9">
      <c r="A67" s="44">
        <v>63</v>
      </c>
      <c r="B67" s="40" t="s">
        <v>111</v>
      </c>
      <c r="C67" s="41">
        <f t="shared" ca="1" si="4"/>
        <v>28</v>
      </c>
      <c r="D67" s="36" t="s">
        <v>149</v>
      </c>
      <c r="E67" s="36">
        <f t="shared" ca="1" si="5"/>
        <v>24</v>
      </c>
      <c r="F67" s="36" t="s">
        <v>153</v>
      </c>
      <c r="G67" s="42">
        <f t="shared" ca="1" si="6"/>
        <v>8687604362417</v>
      </c>
      <c r="H67" s="43">
        <f t="shared" ca="1" si="7"/>
        <v>41058</v>
      </c>
      <c r="I67" s="36" t="s">
        <v>167</v>
      </c>
    </row>
    <row r="68" spans="1:9">
      <c r="A68" s="44">
        <v>64</v>
      </c>
      <c r="B68" s="40" t="s">
        <v>112</v>
      </c>
      <c r="C68" s="41">
        <f t="shared" ca="1" si="4"/>
        <v>27</v>
      </c>
      <c r="D68" s="36" t="s">
        <v>149</v>
      </c>
      <c r="E68" s="36">
        <f t="shared" ca="1" si="5"/>
        <v>23</v>
      </c>
      <c r="F68" s="36" t="s">
        <v>166</v>
      </c>
      <c r="G68" s="42">
        <f t="shared" ca="1" si="6"/>
        <v>5172493991873</v>
      </c>
      <c r="H68" s="43">
        <f t="shared" ca="1" si="7"/>
        <v>41222</v>
      </c>
      <c r="I68" s="36" t="s">
        <v>167</v>
      </c>
    </row>
    <row r="69" spans="1:9">
      <c r="A69" s="44">
        <v>65</v>
      </c>
      <c r="B69" s="40" t="s">
        <v>113</v>
      </c>
      <c r="C69" s="41">
        <f t="shared" ref="C69:C104" ca="1" si="8">RANDBETWEEN(25,30)</f>
        <v>27</v>
      </c>
      <c r="D69" s="36" t="s">
        <v>149</v>
      </c>
      <c r="E69" s="36">
        <f t="shared" ref="E69:E104" ca="1" si="9">RANDBETWEEN(18,41)</f>
        <v>32</v>
      </c>
      <c r="F69" s="36" t="s">
        <v>166</v>
      </c>
      <c r="G69" s="42">
        <f t="shared" ref="G69:G104" ca="1" si="10">RANDBETWEEN(2000000000101,9000000009999)</f>
        <v>6547699461750</v>
      </c>
      <c r="H69" s="43">
        <f t="shared" ref="H69:H104" ca="1" si="11">RANDBETWEEN(DATE(2001,1,1),DATE(2018,7,15))</f>
        <v>40419</v>
      </c>
      <c r="I69" s="36" t="s">
        <v>167</v>
      </c>
    </row>
    <row r="70" spans="1:9">
      <c r="A70" s="44">
        <v>66</v>
      </c>
      <c r="B70" s="40" t="s">
        <v>114</v>
      </c>
      <c r="C70" s="41">
        <f t="shared" ca="1" si="8"/>
        <v>30</v>
      </c>
      <c r="D70" s="36" t="s">
        <v>150</v>
      </c>
      <c r="E70" s="36">
        <f t="shared" ca="1" si="9"/>
        <v>26</v>
      </c>
      <c r="F70" s="36" t="s">
        <v>152</v>
      </c>
      <c r="G70" s="42">
        <f t="shared" ca="1" si="10"/>
        <v>5403389725008</v>
      </c>
      <c r="H70" s="43">
        <f t="shared" ca="1" si="11"/>
        <v>39799</v>
      </c>
      <c r="I70" s="36" t="s">
        <v>167</v>
      </c>
    </row>
    <row r="71" spans="1:9">
      <c r="A71" s="44">
        <v>67</v>
      </c>
      <c r="B71" s="40" t="s">
        <v>115</v>
      </c>
      <c r="C71" s="41">
        <f t="shared" ca="1" si="8"/>
        <v>29</v>
      </c>
      <c r="D71" s="36" t="s">
        <v>149</v>
      </c>
      <c r="E71" s="36">
        <f t="shared" ca="1" si="9"/>
        <v>18</v>
      </c>
      <c r="F71" s="36" t="s">
        <v>166</v>
      </c>
      <c r="G71" s="42">
        <f t="shared" ca="1" si="10"/>
        <v>8291539157373</v>
      </c>
      <c r="H71" s="43">
        <f t="shared" ca="1" si="11"/>
        <v>39943</v>
      </c>
      <c r="I71" s="36" t="s">
        <v>167</v>
      </c>
    </row>
    <row r="72" spans="1:9">
      <c r="A72" s="44">
        <v>68</v>
      </c>
      <c r="B72" s="40" t="s">
        <v>116</v>
      </c>
      <c r="C72" s="41">
        <f t="shared" ca="1" si="8"/>
        <v>30</v>
      </c>
      <c r="D72" s="36" t="s">
        <v>149</v>
      </c>
      <c r="E72" s="36">
        <f t="shared" ca="1" si="9"/>
        <v>22</v>
      </c>
      <c r="F72" s="36" t="s">
        <v>153</v>
      </c>
      <c r="G72" s="42">
        <f t="shared" ca="1" si="10"/>
        <v>8890655642400</v>
      </c>
      <c r="H72" s="43">
        <f t="shared" ca="1" si="11"/>
        <v>41508</v>
      </c>
      <c r="I72" s="36" t="s">
        <v>167</v>
      </c>
    </row>
    <row r="73" spans="1:9">
      <c r="A73" s="44">
        <v>69</v>
      </c>
      <c r="B73" s="40" t="s">
        <v>117</v>
      </c>
      <c r="C73" s="41">
        <f t="shared" ca="1" si="8"/>
        <v>29</v>
      </c>
      <c r="D73" s="36" t="s">
        <v>150</v>
      </c>
      <c r="E73" s="36">
        <f t="shared" ca="1" si="9"/>
        <v>29</v>
      </c>
      <c r="F73" s="36" t="s">
        <v>160</v>
      </c>
      <c r="G73" s="42">
        <f t="shared" ca="1" si="10"/>
        <v>4678234425644</v>
      </c>
      <c r="H73" s="43">
        <f t="shared" ca="1" si="11"/>
        <v>43291</v>
      </c>
      <c r="I73" s="36" t="s">
        <v>167</v>
      </c>
    </row>
    <row r="74" spans="1:9">
      <c r="A74" s="44">
        <v>70</v>
      </c>
      <c r="B74" s="40" t="s">
        <v>118</v>
      </c>
      <c r="C74" s="41">
        <f t="shared" ca="1" si="8"/>
        <v>29</v>
      </c>
      <c r="D74" s="36" t="s">
        <v>149</v>
      </c>
      <c r="E74" s="36">
        <f t="shared" ca="1" si="9"/>
        <v>32</v>
      </c>
      <c r="F74" s="36" t="s">
        <v>166</v>
      </c>
      <c r="G74" s="42">
        <f t="shared" ca="1" si="10"/>
        <v>7197996091468</v>
      </c>
      <c r="H74" s="43">
        <f t="shared" ca="1" si="11"/>
        <v>41613</v>
      </c>
      <c r="I74" s="36" t="s">
        <v>167</v>
      </c>
    </row>
    <row r="75" spans="1:9">
      <c r="A75" s="44">
        <v>71</v>
      </c>
      <c r="B75" s="40" t="s">
        <v>119</v>
      </c>
      <c r="C75" s="41">
        <f t="shared" ca="1" si="8"/>
        <v>27</v>
      </c>
      <c r="D75" s="36" t="s">
        <v>149</v>
      </c>
      <c r="E75" s="36">
        <f t="shared" ca="1" si="9"/>
        <v>40</v>
      </c>
      <c r="F75" s="36" t="s">
        <v>153</v>
      </c>
      <c r="G75" s="42">
        <f t="shared" ca="1" si="10"/>
        <v>7914372722311</v>
      </c>
      <c r="H75" s="43">
        <f t="shared" ca="1" si="11"/>
        <v>38058</v>
      </c>
      <c r="I75" s="36" t="s">
        <v>167</v>
      </c>
    </row>
    <row r="76" spans="1:9">
      <c r="A76" s="44">
        <v>72</v>
      </c>
      <c r="B76" s="40" t="s">
        <v>120</v>
      </c>
      <c r="C76" s="41">
        <f t="shared" ca="1" si="8"/>
        <v>30</v>
      </c>
      <c r="D76" s="36" t="s">
        <v>150</v>
      </c>
      <c r="E76" s="36">
        <f t="shared" ca="1" si="9"/>
        <v>18</v>
      </c>
      <c r="F76" s="36" t="s">
        <v>153</v>
      </c>
      <c r="G76" s="42">
        <f t="shared" ca="1" si="10"/>
        <v>6269711439155</v>
      </c>
      <c r="H76" s="43">
        <f t="shared" ca="1" si="11"/>
        <v>40303</v>
      </c>
      <c r="I76" s="36" t="s">
        <v>167</v>
      </c>
    </row>
    <row r="77" spans="1:9">
      <c r="A77" s="44">
        <v>73</v>
      </c>
      <c r="B77" s="40" t="s">
        <v>121</v>
      </c>
      <c r="C77" s="41">
        <f t="shared" ca="1" si="8"/>
        <v>30</v>
      </c>
      <c r="D77" s="36" t="s">
        <v>149</v>
      </c>
      <c r="E77" s="36">
        <f t="shared" ca="1" si="9"/>
        <v>34</v>
      </c>
      <c r="F77" s="36" t="s">
        <v>153</v>
      </c>
      <c r="G77" s="42">
        <f t="shared" ca="1" si="10"/>
        <v>4304403018642</v>
      </c>
      <c r="H77" s="43">
        <f t="shared" ca="1" si="11"/>
        <v>42109</v>
      </c>
      <c r="I77" s="36" t="s">
        <v>167</v>
      </c>
    </row>
    <row r="78" spans="1:9">
      <c r="A78" s="44">
        <v>74</v>
      </c>
      <c r="B78" s="40" t="s">
        <v>122</v>
      </c>
      <c r="C78" s="41">
        <f t="shared" ca="1" si="8"/>
        <v>29</v>
      </c>
      <c r="D78" s="36" t="s">
        <v>149</v>
      </c>
      <c r="E78" s="36">
        <f t="shared" ca="1" si="9"/>
        <v>27</v>
      </c>
      <c r="F78" s="36" t="s">
        <v>153</v>
      </c>
      <c r="G78" s="42">
        <f t="shared" ca="1" si="10"/>
        <v>8199146751138</v>
      </c>
      <c r="H78" s="43">
        <f t="shared" ca="1" si="11"/>
        <v>42479</v>
      </c>
      <c r="I78" s="36" t="s">
        <v>167</v>
      </c>
    </row>
    <row r="79" spans="1:9">
      <c r="A79" s="44">
        <v>75</v>
      </c>
      <c r="B79" s="40" t="s">
        <v>123</v>
      </c>
      <c r="C79" s="41">
        <f t="shared" ca="1" si="8"/>
        <v>27</v>
      </c>
      <c r="D79" s="36" t="s">
        <v>149</v>
      </c>
      <c r="E79" s="36">
        <f t="shared" ca="1" si="9"/>
        <v>23</v>
      </c>
      <c r="F79" s="36" t="s">
        <v>153</v>
      </c>
      <c r="G79" s="42">
        <f t="shared" ca="1" si="10"/>
        <v>3855468482702</v>
      </c>
      <c r="H79" s="43">
        <f t="shared" ca="1" si="11"/>
        <v>42556</v>
      </c>
      <c r="I79" s="36" t="s">
        <v>167</v>
      </c>
    </row>
    <row r="80" spans="1:9">
      <c r="A80" s="44">
        <v>76</v>
      </c>
      <c r="B80" s="40" t="s">
        <v>124</v>
      </c>
      <c r="C80" s="41">
        <f t="shared" ca="1" si="8"/>
        <v>30</v>
      </c>
      <c r="D80" s="36" t="s">
        <v>150</v>
      </c>
      <c r="E80" s="36">
        <f t="shared" ca="1" si="9"/>
        <v>29</v>
      </c>
      <c r="F80" s="36" t="s">
        <v>156</v>
      </c>
      <c r="G80" s="42">
        <f t="shared" ca="1" si="10"/>
        <v>4111859462699</v>
      </c>
      <c r="H80" s="43">
        <f t="shared" ca="1" si="11"/>
        <v>42491</v>
      </c>
      <c r="I80" s="36" t="s">
        <v>167</v>
      </c>
    </row>
    <row r="81" spans="1:9">
      <c r="A81" s="44">
        <v>77</v>
      </c>
      <c r="B81" s="40" t="s">
        <v>125</v>
      </c>
      <c r="C81" s="41">
        <f t="shared" ca="1" si="8"/>
        <v>28</v>
      </c>
      <c r="D81" s="36" t="s">
        <v>149</v>
      </c>
      <c r="E81" s="36">
        <f t="shared" ca="1" si="9"/>
        <v>36</v>
      </c>
      <c r="F81" s="36" t="s">
        <v>166</v>
      </c>
      <c r="G81" s="42">
        <f t="shared" ca="1" si="10"/>
        <v>3518511834068</v>
      </c>
      <c r="H81" s="43">
        <f t="shared" ca="1" si="11"/>
        <v>39920</v>
      </c>
      <c r="I81" s="36" t="s">
        <v>167</v>
      </c>
    </row>
    <row r="82" spans="1:9">
      <c r="A82" s="44">
        <v>78</v>
      </c>
      <c r="B82" s="40" t="s">
        <v>126</v>
      </c>
      <c r="C82" s="41">
        <f t="shared" ca="1" si="8"/>
        <v>28</v>
      </c>
      <c r="D82" s="36" t="s">
        <v>149</v>
      </c>
      <c r="E82" s="36">
        <f t="shared" ca="1" si="9"/>
        <v>40</v>
      </c>
      <c r="F82" s="36" t="s">
        <v>151</v>
      </c>
      <c r="G82" s="42">
        <f t="shared" ca="1" si="10"/>
        <v>7305004503152</v>
      </c>
      <c r="H82" s="43">
        <f t="shared" ca="1" si="11"/>
        <v>41115</v>
      </c>
      <c r="I82" s="36" t="s">
        <v>167</v>
      </c>
    </row>
    <row r="83" spans="1:9">
      <c r="A83" s="44">
        <v>79</v>
      </c>
      <c r="B83" s="40" t="s">
        <v>127</v>
      </c>
      <c r="C83" s="41">
        <f t="shared" ca="1" si="8"/>
        <v>25</v>
      </c>
      <c r="D83" s="36" t="s">
        <v>150</v>
      </c>
      <c r="E83" s="36">
        <f t="shared" ca="1" si="9"/>
        <v>28</v>
      </c>
      <c r="F83" s="36" t="s">
        <v>166</v>
      </c>
      <c r="G83" s="42">
        <f t="shared" ca="1" si="10"/>
        <v>4995324238209</v>
      </c>
      <c r="H83" s="43">
        <f t="shared" ca="1" si="11"/>
        <v>37315</v>
      </c>
      <c r="I83" s="36" t="s">
        <v>167</v>
      </c>
    </row>
    <row r="84" spans="1:9">
      <c r="A84" s="44">
        <v>80</v>
      </c>
      <c r="B84" s="40" t="s">
        <v>128</v>
      </c>
      <c r="C84" s="41">
        <f t="shared" ca="1" si="8"/>
        <v>28</v>
      </c>
      <c r="D84" s="36" t="s">
        <v>149</v>
      </c>
      <c r="E84" s="36">
        <f t="shared" ca="1" si="9"/>
        <v>25</v>
      </c>
      <c r="F84" s="36" t="s">
        <v>153</v>
      </c>
      <c r="G84" s="42">
        <f t="shared" ca="1" si="10"/>
        <v>8623991892567</v>
      </c>
      <c r="H84" s="43">
        <f t="shared" ca="1" si="11"/>
        <v>39439</v>
      </c>
      <c r="I84" s="36" t="s">
        <v>167</v>
      </c>
    </row>
    <row r="85" spans="1:9">
      <c r="A85" s="44">
        <v>81</v>
      </c>
      <c r="B85" s="40" t="s">
        <v>129</v>
      </c>
      <c r="C85" s="41">
        <f t="shared" ca="1" si="8"/>
        <v>30</v>
      </c>
      <c r="D85" s="36" t="s">
        <v>150</v>
      </c>
      <c r="E85" s="36">
        <f t="shared" ca="1" si="9"/>
        <v>24</v>
      </c>
      <c r="F85" s="36" t="s">
        <v>153</v>
      </c>
      <c r="G85" s="42">
        <f t="shared" ca="1" si="10"/>
        <v>3692437338386</v>
      </c>
      <c r="H85" s="43">
        <f t="shared" ca="1" si="11"/>
        <v>37612</v>
      </c>
      <c r="I85" s="36" t="s">
        <v>167</v>
      </c>
    </row>
    <row r="86" spans="1:9">
      <c r="A86" s="44">
        <v>82</v>
      </c>
      <c r="B86" s="40" t="s">
        <v>130</v>
      </c>
      <c r="C86" s="41">
        <f t="shared" ca="1" si="8"/>
        <v>28</v>
      </c>
      <c r="D86" s="36" t="s">
        <v>150</v>
      </c>
      <c r="E86" s="36">
        <f t="shared" ca="1" si="9"/>
        <v>26</v>
      </c>
      <c r="F86" s="36" t="s">
        <v>152</v>
      </c>
      <c r="G86" s="42">
        <f t="shared" ca="1" si="10"/>
        <v>6082413302783</v>
      </c>
      <c r="H86" s="43">
        <f t="shared" ca="1" si="11"/>
        <v>39700</v>
      </c>
      <c r="I86" s="36" t="s">
        <v>167</v>
      </c>
    </row>
    <row r="87" spans="1:9">
      <c r="A87" s="44">
        <v>83</v>
      </c>
      <c r="B87" s="40" t="s">
        <v>131</v>
      </c>
      <c r="C87" s="41">
        <f t="shared" ca="1" si="8"/>
        <v>28</v>
      </c>
      <c r="D87" s="36" t="s">
        <v>150</v>
      </c>
      <c r="E87" s="36">
        <f t="shared" ca="1" si="9"/>
        <v>28</v>
      </c>
      <c r="F87" s="36" t="s">
        <v>166</v>
      </c>
      <c r="G87" s="42">
        <f t="shared" ca="1" si="10"/>
        <v>7198811657924</v>
      </c>
      <c r="H87" s="43">
        <f t="shared" ca="1" si="11"/>
        <v>42679</v>
      </c>
      <c r="I87" s="36" t="s">
        <v>167</v>
      </c>
    </row>
    <row r="88" spans="1:9">
      <c r="A88" s="44">
        <v>84</v>
      </c>
      <c r="B88" s="40" t="s">
        <v>132</v>
      </c>
      <c r="C88" s="41">
        <f t="shared" ca="1" si="8"/>
        <v>27</v>
      </c>
      <c r="D88" s="36" t="s">
        <v>150</v>
      </c>
      <c r="E88" s="36">
        <f t="shared" ca="1" si="9"/>
        <v>26</v>
      </c>
      <c r="F88" s="36" t="s">
        <v>153</v>
      </c>
      <c r="G88" s="42">
        <f t="shared" ca="1" si="10"/>
        <v>6184700622552</v>
      </c>
      <c r="H88" s="43">
        <f t="shared" ca="1" si="11"/>
        <v>42932</v>
      </c>
      <c r="I88" s="36" t="s">
        <v>167</v>
      </c>
    </row>
    <row r="89" spans="1:9">
      <c r="A89" s="44">
        <v>85</v>
      </c>
      <c r="B89" s="40" t="s">
        <v>133</v>
      </c>
      <c r="C89" s="41">
        <f t="shared" ca="1" si="8"/>
        <v>25</v>
      </c>
      <c r="D89" s="36" t="s">
        <v>150</v>
      </c>
      <c r="E89" s="36">
        <f t="shared" ca="1" si="9"/>
        <v>23</v>
      </c>
      <c r="F89" s="36" t="s">
        <v>152</v>
      </c>
      <c r="G89" s="42">
        <f t="shared" ca="1" si="10"/>
        <v>4704123014101</v>
      </c>
      <c r="H89" s="43">
        <f t="shared" ca="1" si="11"/>
        <v>38638</v>
      </c>
      <c r="I89" s="36" t="s">
        <v>167</v>
      </c>
    </row>
    <row r="90" spans="1:9">
      <c r="A90" s="44">
        <v>86</v>
      </c>
      <c r="B90" s="40" t="s">
        <v>134</v>
      </c>
      <c r="C90" s="41">
        <f t="shared" ca="1" si="8"/>
        <v>30</v>
      </c>
      <c r="D90" s="36" t="s">
        <v>150</v>
      </c>
      <c r="E90" s="36">
        <f t="shared" ca="1" si="9"/>
        <v>32</v>
      </c>
      <c r="F90" s="36" t="s">
        <v>165</v>
      </c>
      <c r="G90" s="42">
        <f t="shared" ca="1" si="10"/>
        <v>6326933211129</v>
      </c>
      <c r="H90" s="43">
        <f t="shared" ca="1" si="11"/>
        <v>37474</v>
      </c>
      <c r="I90" s="36" t="s">
        <v>167</v>
      </c>
    </row>
    <row r="91" spans="1:9">
      <c r="A91" s="44">
        <v>87</v>
      </c>
      <c r="B91" s="40" t="s">
        <v>135</v>
      </c>
      <c r="C91" s="41">
        <f t="shared" ca="1" si="8"/>
        <v>26</v>
      </c>
      <c r="D91" s="36" t="s">
        <v>149</v>
      </c>
      <c r="E91" s="36">
        <f t="shared" ca="1" si="9"/>
        <v>41</v>
      </c>
      <c r="F91" s="36" t="s">
        <v>166</v>
      </c>
      <c r="G91" s="42">
        <f t="shared" ca="1" si="10"/>
        <v>4625157934261</v>
      </c>
      <c r="H91" s="43">
        <f t="shared" ca="1" si="11"/>
        <v>37288</v>
      </c>
      <c r="I91" s="36" t="s">
        <v>167</v>
      </c>
    </row>
    <row r="92" spans="1:9">
      <c r="A92" s="44">
        <v>88</v>
      </c>
      <c r="B92" s="40" t="s">
        <v>136</v>
      </c>
      <c r="C92" s="41">
        <f t="shared" ca="1" si="8"/>
        <v>27</v>
      </c>
      <c r="D92" s="36" t="s">
        <v>150</v>
      </c>
      <c r="E92" s="36">
        <f t="shared" ca="1" si="9"/>
        <v>27</v>
      </c>
      <c r="F92" s="36" t="s">
        <v>166</v>
      </c>
      <c r="G92" s="42">
        <f t="shared" ca="1" si="10"/>
        <v>7229814703752</v>
      </c>
      <c r="H92" s="43">
        <f t="shared" ca="1" si="11"/>
        <v>39880</v>
      </c>
      <c r="I92" s="36" t="s">
        <v>167</v>
      </c>
    </row>
    <row r="93" spans="1:9">
      <c r="A93" s="44">
        <v>89</v>
      </c>
      <c r="B93" s="40" t="s">
        <v>137</v>
      </c>
      <c r="C93" s="41">
        <f t="shared" ca="1" si="8"/>
        <v>26</v>
      </c>
      <c r="D93" s="36" t="s">
        <v>149</v>
      </c>
      <c r="E93" s="36">
        <f t="shared" ca="1" si="9"/>
        <v>40</v>
      </c>
      <c r="F93" s="36" t="s">
        <v>166</v>
      </c>
      <c r="G93" s="42">
        <f t="shared" ca="1" si="10"/>
        <v>2389350061841</v>
      </c>
      <c r="H93" s="43">
        <f t="shared" ca="1" si="11"/>
        <v>38464</v>
      </c>
      <c r="I93" s="36" t="s">
        <v>167</v>
      </c>
    </row>
    <row r="94" spans="1:9">
      <c r="A94" s="44">
        <v>90</v>
      </c>
      <c r="B94" s="40" t="s">
        <v>138</v>
      </c>
      <c r="C94" s="41">
        <f t="shared" ca="1" si="8"/>
        <v>25</v>
      </c>
      <c r="D94" s="36" t="s">
        <v>150</v>
      </c>
      <c r="E94" s="36">
        <f t="shared" ca="1" si="9"/>
        <v>22</v>
      </c>
      <c r="F94" s="36" t="s">
        <v>153</v>
      </c>
      <c r="G94" s="42">
        <f t="shared" ca="1" si="10"/>
        <v>2807634173373</v>
      </c>
      <c r="H94" s="43">
        <f t="shared" ca="1" si="11"/>
        <v>43236</v>
      </c>
      <c r="I94" s="36" t="s">
        <v>167</v>
      </c>
    </row>
    <row r="95" spans="1:9">
      <c r="A95" s="44">
        <v>91</v>
      </c>
      <c r="B95" s="40" t="s">
        <v>139</v>
      </c>
      <c r="C95" s="41">
        <f t="shared" ca="1" si="8"/>
        <v>26</v>
      </c>
      <c r="D95" s="36" t="s">
        <v>149</v>
      </c>
      <c r="E95" s="36">
        <f t="shared" ca="1" si="9"/>
        <v>19</v>
      </c>
      <c r="F95" s="36" t="s">
        <v>166</v>
      </c>
      <c r="G95" s="42">
        <f t="shared" ca="1" si="10"/>
        <v>8060511285142</v>
      </c>
      <c r="H95" s="43">
        <f t="shared" ca="1" si="11"/>
        <v>40124</v>
      </c>
      <c r="I95" s="36" t="s">
        <v>167</v>
      </c>
    </row>
    <row r="96" spans="1:9">
      <c r="A96" s="44">
        <v>92</v>
      </c>
      <c r="B96" s="40" t="s">
        <v>140</v>
      </c>
      <c r="C96" s="41">
        <f t="shared" ca="1" si="8"/>
        <v>27</v>
      </c>
      <c r="D96" s="36" t="s">
        <v>149</v>
      </c>
      <c r="E96" s="36">
        <f t="shared" ca="1" si="9"/>
        <v>33</v>
      </c>
      <c r="F96" s="36" t="s">
        <v>151</v>
      </c>
      <c r="G96" s="42">
        <f t="shared" ca="1" si="10"/>
        <v>8448971974910</v>
      </c>
      <c r="H96" s="43">
        <f t="shared" ca="1" si="11"/>
        <v>39257</v>
      </c>
      <c r="I96" s="36" t="s">
        <v>167</v>
      </c>
    </row>
    <row r="97" spans="1:9">
      <c r="A97" s="44">
        <v>93</v>
      </c>
      <c r="B97" s="40" t="s">
        <v>141</v>
      </c>
      <c r="C97" s="41">
        <f t="shared" ca="1" si="8"/>
        <v>29</v>
      </c>
      <c r="D97" s="36" t="s">
        <v>149</v>
      </c>
      <c r="E97" s="36">
        <f t="shared" ca="1" si="9"/>
        <v>34</v>
      </c>
      <c r="F97" s="36" t="s">
        <v>166</v>
      </c>
      <c r="G97" s="42">
        <f t="shared" ca="1" si="10"/>
        <v>8789566559972</v>
      </c>
      <c r="H97" s="43">
        <f t="shared" ca="1" si="11"/>
        <v>42828</v>
      </c>
      <c r="I97" s="36" t="s">
        <v>167</v>
      </c>
    </row>
    <row r="98" spans="1:9">
      <c r="A98" s="44">
        <v>94</v>
      </c>
      <c r="B98" s="40" t="s">
        <v>142</v>
      </c>
      <c r="C98" s="41">
        <f t="shared" ca="1" si="8"/>
        <v>25</v>
      </c>
      <c r="D98" s="36" t="s">
        <v>149</v>
      </c>
      <c r="E98" s="36">
        <f t="shared" ca="1" si="9"/>
        <v>38</v>
      </c>
      <c r="F98" s="36" t="s">
        <v>166</v>
      </c>
      <c r="G98" s="42">
        <f t="shared" ca="1" si="10"/>
        <v>7478209737631</v>
      </c>
      <c r="H98" s="43">
        <f t="shared" ca="1" si="11"/>
        <v>37525</v>
      </c>
      <c r="I98" s="36" t="s">
        <v>167</v>
      </c>
    </row>
    <row r="99" spans="1:9">
      <c r="A99" s="44">
        <v>95</v>
      </c>
      <c r="B99" s="40" t="s">
        <v>143</v>
      </c>
      <c r="C99" s="41">
        <f t="shared" ca="1" si="8"/>
        <v>25</v>
      </c>
      <c r="D99" s="36" t="s">
        <v>149</v>
      </c>
      <c r="E99" s="36">
        <f t="shared" ca="1" si="9"/>
        <v>22</v>
      </c>
      <c r="F99" s="36" t="s">
        <v>153</v>
      </c>
      <c r="G99" s="42">
        <f t="shared" ca="1" si="10"/>
        <v>3023344438930</v>
      </c>
      <c r="H99" s="43">
        <f t="shared" ca="1" si="11"/>
        <v>41255</v>
      </c>
      <c r="I99" s="36" t="s">
        <v>167</v>
      </c>
    </row>
    <row r="100" spans="1:9">
      <c r="A100" s="44">
        <v>96</v>
      </c>
      <c r="B100" s="40" t="s">
        <v>144</v>
      </c>
      <c r="C100" s="41">
        <f t="shared" ca="1" si="8"/>
        <v>27</v>
      </c>
      <c r="D100" s="36" t="s">
        <v>149</v>
      </c>
      <c r="E100" s="36">
        <f t="shared" ca="1" si="9"/>
        <v>34</v>
      </c>
      <c r="F100" s="36" t="s">
        <v>154</v>
      </c>
      <c r="G100" s="42">
        <f t="shared" ca="1" si="10"/>
        <v>6964483808702</v>
      </c>
      <c r="H100" s="43">
        <f t="shared" ca="1" si="11"/>
        <v>39173</v>
      </c>
      <c r="I100" s="36" t="s">
        <v>167</v>
      </c>
    </row>
    <row r="101" spans="1:9">
      <c r="A101" s="44">
        <v>97</v>
      </c>
      <c r="B101" s="40" t="s">
        <v>145</v>
      </c>
      <c r="C101" s="41">
        <f t="shared" ca="1" si="8"/>
        <v>29</v>
      </c>
      <c r="D101" s="36" t="s">
        <v>150</v>
      </c>
      <c r="E101" s="36">
        <f t="shared" ca="1" si="9"/>
        <v>39</v>
      </c>
      <c r="F101" s="36" t="s">
        <v>165</v>
      </c>
      <c r="G101" s="42">
        <f t="shared" ca="1" si="10"/>
        <v>3665062344694</v>
      </c>
      <c r="H101" s="43">
        <f t="shared" ca="1" si="11"/>
        <v>37868</v>
      </c>
      <c r="I101" s="36" t="s">
        <v>167</v>
      </c>
    </row>
    <row r="102" spans="1:9">
      <c r="A102" s="44">
        <v>98</v>
      </c>
      <c r="B102" s="40" t="s">
        <v>146</v>
      </c>
      <c r="C102" s="41">
        <f t="shared" ca="1" si="8"/>
        <v>30</v>
      </c>
      <c r="D102" s="36" t="s">
        <v>150</v>
      </c>
      <c r="E102" s="36">
        <f t="shared" ca="1" si="9"/>
        <v>30</v>
      </c>
      <c r="F102" s="36" t="s">
        <v>153</v>
      </c>
      <c r="G102" s="42">
        <f t="shared" ca="1" si="10"/>
        <v>4318447233245</v>
      </c>
      <c r="H102" s="43">
        <f t="shared" ca="1" si="11"/>
        <v>41511</v>
      </c>
      <c r="I102" s="36" t="s">
        <v>167</v>
      </c>
    </row>
    <row r="103" spans="1:9">
      <c r="A103" s="44">
        <v>99</v>
      </c>
      <c r="B103" s="40" t="s">
        <v>147</v>
      </c>
      <c r="C103" s="41">
        <f t="shared" ca="1" si="8"/>
        <v>30</v>
      </c>
      <c r="D103" s="36" t="s">
        <v>149</v>
      </c>
      <c r="E103" s="36">
        <f t="shared" ca="1" si="9"/>
        <v>27</v>
      </c>
      <c r="F103" s="36" t="s">
        <v>152</v>
      </c>
      <c r="G103" s="42">
        <f t="shared" ca="1" si="10"/>
        <v>2755498859341</v>
      </c>
      <c r="H103" s="43">
        <f t="shared" ca="1" si="11"/>
        <v>37189</v>
      </c>
      <c r="I103" s="36" t="s">
        <v>167</v>
      </c>
    </row>
    <row r="104" spans="1:9">
      <c r="A104" s="44">
        <v>100</v>
      </c>
      <c r="B104" s="45" t="s">
        <v>148</v>
      </c>
      <c r="C104" s="46">
        <f t="shared" ca="1" si="8"/>
        <v>26</v>
      </c>
      <c r="D104" s="36" t="s">
        <v>149</v>
      </c>
      <c r="E104" s="36">
        <f t="shared" ca="1" si="9"/>
        <v>39</v>
      </c>
      <c r="F104" s="36" t="s">
        <v>164</v>
      </c>
      <c r="G104" s="42">
        <f t="shared" ca="1" si="10"/>
        <v>4685028136138</v>
      </c>
      <c r="H104" s="43">
        <f t="shared" ca="1" si="11"/>
        <v>42467</v>
      </c>
      <c r="I104" s="36" t="s">
        <v>167</v>
      </c>
    </row>
  </sheetData>
  <mergeCells count="1">
    <mergeCell ref="A1:I2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21"/>
  <sheetViews>
    <sheetView tabSelected="1" workbookViewId="0">
      <selection activeCell="I19" sqref="I19"/>
    </sheetView>
  </sheetViews>
  <sheetFormatPr baseColWidth="10" defaultRowHeight="15"/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B2" s="55"/>
      <c r="C2" s="3"/>
      <c r="D2" s="3"/>
      <c r="E2" s="3"/>
      <c r="F2" s="81" t="s">
        <v>183</v>
      </c>
      <c r="G2" s="81"/>
      <c r="H2" s="81"/>
      <c r="I2" s="81"/>
      <c r="J2" s="81"/>
      <c r="K2" s="81"/>
      <c r="L2" s="81"/>
      <c r="M2" s="81"/>
      <c r="N2" s="81"/>
      <c r="O2" s="81"/>
      <c r="P2" s="81"/>
      <c r="Q2" s="3"/>
      <c r="R2" s="4" t="s">
        <v>0</v>
      </c>
      <c r="S2" s="5">
        <v>5</v>
      </c>
    </row>
    <row r="3" spans="1:19" ht="18">
      <c r="B3" s="3"/>
      <c r="C3" s="3"/>
      <c r="D3" s="3"/>
      <c r="E3" s="3"/>
      <c r="F3" s="81" t="s">
        <v>185</v>
      </c>
      <c r="G3" s="81"/>
      <c r="H3" s="81"/>
      <c r="I3" s="81"/>
      <c r="J3" s="81"/>
      <c r="K3" s="81"/>
      <c r="L3" s="81"/>
      <c r="M3" s="81"/>
      <c r="N3" s="81"/>
      <c r="O3" s="81"/>
      <c r="P3" s="81"/>
      <c r="Q3" s="3"/>
      <c r="R3" s="3"/>
      <c r="S3" s="3"/>
    </row>
    <row r="4" spans="1:19" ht="15.75">
      <c r="A4" s="3"/>
      <c r="B4" s="3"/>
      <c r="C4" s="3"/>
      <c r="D4" s="82" t="s">
        <v>1</v>
      </c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3"/>
    </row>
    <row r="5" spans="1:19">
      <c r="A5" s="3"/>
      <c r="B5" s="3"/>
      <c r="C5" s="3"/>
      <c r="D5" s="83" t="s">
        <v>2</v>
      </c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  <c r="R5" s="83"/>
      <c r="S5" s="3"/>
    </row>
    <row r="6" spans="1:19">
      <c r="A6" s="3"/>
      <c r="B6" s="3"/>
      <c r="C6" s="56">
        <v>1</v>
      </c>
      <c r="D6" s="56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 t="s">
        <v>184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68" t="str">
        <f>VLOOKUP(C6,Tabla1[],2,FALSE)</f>
        <v>ACEVEDO JHONG, DANIEL</v>
      </c>
      <c r="B8" s="68"/>
      <c r="C8" s="68"/>
      <c r="D8" s="7"/>
      <c r="E8" s="6">
        <f ca="1">VLOOKUP(C6,Tabla1[],5,FALSE)</f>
        <v>39</v>
      </c>
      <c r="F8" s="8"/>
      <c r="G8" s="7"/>
      <c r="H8" s="6" t="str">
        <f>VLOOKUP(C6,Tabla1[],4,FALSE)</f>
        <v>M</v>
      </c>
      <c r="I8" s="7"/>
      <c r="J8" s="8"/>
      <c r="K8" s="69" t="s">
        <v>45</v>
      </c>
      <c r="L8" s="69"/>
      <c r="M8" s="69"/>
      <c r="N8" s="7"/>
      <c r="O8" s="8"/>
      <c r="P8" s="69" t="str">
        <f>VLOOKUP(C6,Tabla1[],6,FALSE)</f>
        <v>Informática</v>
      </c>
      <c r="Q8" s="69"/>
      <c r="R8" s="69"/>
      <c r="S8" s="8"/>
    </row>
    <row r="9" spans="1:19">
      <c r="A9" s="70" t="s">
        <v>3</v>
      </c>
      <c r="B9" s="70"/>
      <c r="C9" s="70"/>
      <c r="D9" s="9"/>
      <c r="E9" s="10" t="s">
        <v>4</v>
      </c>
      <c r="F9" s="10"/>
      <c r="G9" s="10"/>
      <c r="H9" s="10" t="s">
        <v>5</v>
      </c>
      <c r="I9" s="10"/>
      <c r="J9" s="11"/>
      <c r="K9" s="11"/>
      <c r="L9" s="10" t="s">
        <v>6</v>
      </c>
      <c r="M9" s="10"/>
      <c r="N9" s="12"/>
      <c r="O9" s="8"/>
      <c r="P9" s="13"/>
      <c r="Q9" s="10" t="s">
        <v>7</v>
      </c>
      <c r="R9" s="12"/>
      <c r="S9" s="8"/>
    </row>
    <row r="10" spans="1:19">
      <c r="A10" s="14"/>
      <c r="B10" s="15"/>
      <c r="C10" s="15"/>
      <c r="D10" s="15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68">
        <f ca="1">VLOOKUP(C6,'DB Empleados'!A5:I104,7,FALSE)</f>
        <v>4795644430403</v>
      </c>
      <c r="B11" s="68"/>
      <c r="C11" s="68"/>
      <c r="D11" s="7"/>
      <c r="E11" s="8"/>
      <c r="F11" s="69">
        <f ca="1">VLOOKUP(C6,Tabla1[],7,FALSE)</f>
        <v>4795644430403</v>
      </c>
      <c r="G11" s="69"/>
      <c r="H11" s="69"/>
      <c r="I11" s="7"/>
      <c r="J11" s="8"/>
      <c r="K11" s="69">
        <f ca="1">VLOOKUP(C6,Tabla1[],8,FALSE)</f>
        <v>43262</v>
      </c>
      <c r="L11" s="69"/>
      <c r="M11" s="69"/>
      <c r="N11" s="7"/>
      <c r="O11" s="8"/>
      <c r="P11" s="69" t="str">
        <f>VLOOKUP(C6,Tabla1[],9,FALSE)</f>
        <v>No</v>
      </c>
      <c r="Q11" s="69"/>
      <c r="R11" s="69"/>
      <c r="S11" s="7"/>
    </row>
    <row r="12" spans="1:19">
      <c r="A12" s="70" t="s">
        <v>8</v>
      </c>
      <c r="B12" s="70"/>
      <c r="C12" s="70"/>
      <c r="D12" s="16"/>
      <c r="E12" s="8"/>
      <c r="F12" s="70" t="s">
        <v>9</v>
      </c>
      <c r="G12" s="70"/>
      <c r="H12" s="70"/>
      <c r="I12" s="8"/>
      <c r="J12" s="8"/>
      <c r="K12" s="8"/>
      <c r="L12" s="10" t="s">
        <v>10</v>
      </c>
      <c r="M12" s="12"/>
      <c r="N12" s="12"/>
      <c r="O12" s="8"/>
      <c r="P12" s="13"/>
      <c r="Q12" s="10" t="s">
        <v>11</v>
      </c>
      <c r="R12" s="12"/>
      <c r="S12" s="8"/>
    </row>
    <row r="13" spans="1:19">
      <c r="A13" s="17"/>
      <c r="B13" s="16"/>
      <c r="C13" s="18"/>
      <c r="D13" s="16"/>
      <c r="E13" s="6"/>
      <c r="F13" s="6"/>
      <c r="G13" s="6"/>
      <c r="H13" s="6"/>
      <c r="I13" s="6"/>
      <c r="J13" s="6"/>
      <c r="K13" s="7"/>
      <c r="L13" s="18"/>
      <c r="M13" s="18"/>
      <c r="N13" s="18"/>
      <c r="O13" s="6"/>
      <c r="P13" s="19"/>
      <c r="Q13" s="18"/>
      <c r="R13" s="18"/>
      <c r="S13" s="6"/>
    </row>
    <row r="14" spans="1:19">
      <c r="A14" s="71" t="s">
        <v>12</v>
      </c>
      <c r="B14" s="20" t="s">
        <v>13</v>
      </c>
      <c r="C14" s="16" t="s">
        <v>14</v>
      </c>
      <c r="D14" s="71" t="s">
        <v>15</v>
      </c>
      <c r="E14" s="74" t="s">
        <v>16</v>
      </c>
      <c r="F14" s="75"/>
      <c r="G14" s="76" t="s">
        <v>17</v>
      </c>
      <c r="H14" s="77"/>
      <c r="I14" s="77"/>
      <c r="J14" s="77"/>
      <c r="K14" s="84" t="s">
        <v>18</v>
      </c>
      <c r="L14" s="77" t="s">
        <v>19</v>
      </c>
      <c r="M14" s="77"/>
      <c r="N14" s="87"/>
      <c r="O14" s="71" t="s">
        <v>20</v>
      </c>
      <c r="P14" s="71" t="s">
        <v>21</v>
      </c>
      <c r="Q14" s="71" t="s">
        <v>22</v>
      </c>
      <c r="R14" s="78" t="s">
        <v>23</v>
      </c>
      <c r="S14" s="78" t="s">
        <v>24</v>
      </c>
    </row>
    <row r="15" spans="1:19">
      <c r="A15" s="72"/>
      <c r="B15" s="21" t="s">
        <v>25</v>
      </c>
      <c r="C15" s="22" t="s">
        <v>26</v>
      </c>
      <c r="D15" s="72"/>
      <c r="E15" s="78" t="s">
        <v>27</v>
      </c>
      <c r="F15" s="23" t="s">
        <v>28</v>
      </c>
      <c r="G15" s="78" t="s">
        <v>29</v>
      </c>
      <c r="H15" s="24" t="s">
        <v>30</v>
      </c>
      <c r="I15" s="24" t="s">
        <v>31</v>
      </c>
      <c r="J15" s="78" t="s">
        <v>32</v>
      </c>
      <c r="K15" s="85"/>
      <c r="L15" s="78" t="s">
        <v>33</v>
      </c>
      <c r="M15" s="24" t="s">
        <v>34</v>
      </c>
      <c r="N15" s="23" t="s">
        <v>35</v>
      </c>
      <c r="O15" s="72"/>
      <c r="P15" s="72"/>
      <c r="Q15" s="72"/>
      <c r="R15" s="80"/>
      <c r="S15" s="80"/>
    </row>
    <row r="16" spans="1:19">
      <c r="A16" s="73"/>
      <c r="B16" s="25" t="s">
        <v>36</v>
      </c>
      <c r="C16" s="26" t="s">
        <v>37</v>
      </c>
      <c r="D16" s="73"/>
      <c r="E16" s="79"/>
      <c r="F16" s="27" t="s">
        <v>38</v>
      </c>
      <c r="G16" s="79"/>
      <c r="H16" s="28" t="s">
        <v>39</v>
      </c>
      <c r="I16" s="29" t="s">
        <v>40</v>
      </c>
      <c r="J16" s="79"/>
      <c r="K16" s="86"/>
      <c r="L16" s="79"/>
      <c r="M16" s="28" t="s">
        <v>41</v>
      </c>
      <c r="N16" s="30" t="s">
        <v>42</v>
      </c>
      <c r="O16" s="73"/>
      <c r="P16" s="73"/>
      <c r="Q16" s="73"/>
      <c r="R16" s="79"/>
      <c r="S16" s="79"/>
    </row>
    <row r="17" spans="1:19">
      <c r="A17" s="31">
        <v>1</v>
      </c>
      <c r="B17" s="7" t="s">
        <v>186</v>
      </c>
      <c r="C17" s="7">
        <v>3500</v>
      </c>
      <c r="D17" s="7">
        <f ca="1">VLOOKUP(A17,Tabla1[],3,FALSE)</f>
        <v>26</v>
      </c>
      <c r="E17" s="7">
        <v>10</v>
      </c>
      <c r="F17" s="7">
        <v>10</v>
      </c>
      <c r="G17" s="7"/>
      <c r="H17" s="33"/>
      <c r="I17" s="33"/>
      <c r="J17" s="33"/>
      <c r="K17" s="7"/>
      <c r="L17" s="7"/>
      <c r="M17" s="7"/>
      <c r="N17" s="7"/>
      <c r="O17" s="33"/>
      <c r="P17" s="7">
        <v>250</v>
      </c>
      <c r="Q17" s="7"/>
      <c r="R17" s="7"/>
      <c r="S17" s="7"/>
    </row>
    <row r="18" spans="1:1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32" t="s">
        <v>169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</sheetData>
  <mergeCells count="29"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P11:R11"/>
    <mergeCell ref="P8:R8"/>
    <mergeCell ref="K8:M8"/>
    <mergeCell ref="A12:C12"/>
    <mergeCell ref="F12:H12"/>
    <mergeCell ref="P14:P16"/>
    <mergeCell ref="Q14:Q16"/>
    <mergeCell ref="R14:R16"/>
    <mergeCell ref="A14:A16"/>
    <mergeCell ref="D14:D16"/>
    <mergeCell ref="E14:F14"/>
    <mergeCell ref="G14:J14"/>
    <mergeCell ref="E15:E16"/>
    <mergeCell ref="G15:G16"/>
    <mergeCell ref="J15:J16"/>
    <mergeCell ref="A8:C8"/>
    <mergeCell ref="A11:C11"/>
    <mergeCell ref="F11:H11"/>
    <mergeCell ref="K11:M11"/>
    <mergeCell ref="A9:C9"/>
  </mergeCells>
  <pageMargins left="1.84" right="0.31496062992125984" top="0.74803149606299213" bottom="0.74803149606299213" header="0.31496062992125984" footer="0.31496062992125984"/>
  <pageSetup paperSize="5"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>
                <anchor moveWithCells="1" sizeWithCells="1">
                  <from>
                    <xdr:col>6</xdr:col>
                    <xdr:colOff>0</xdr:colOff>
                    <xdr:row>17</xdr:row>
                    <xdr:rowOff>180975</xdr:rowOff>
                  </from>
                  <to>
                    <xdr:col>8</xdr:col>
                    <xdr:colOff>0</xdr:colOff>
                    <xdr:row>19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'DB Empleados'!$A$5:$A$104</xm:f>
          </x14:formula1>
          <xm:sqref>C6 A17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Personal</vt:lpstr>
      <vt:lpstr>DB Empleados</vt:lpstr>
      <vt:lpstr>Libro Salarios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2019-05-30T16:30:08Z</dcterms:modified>
</cp:coreProperties>
</file>